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Texas\26S\Perf\project\PinTool\17int\"/>
    </mc:Choice>
  </mc:AlternateContent>
  <xr:revisionPtr revIDLastSave="0" documentId="13_ncr:1_{7C707AD4-56BB-4C50-8282-9415DB67BDF8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1" l="1"/>
  <c r="D25" i="1"/>
  <c r="E25" i="1"/>
  <c r="F25" i="1"/>
  <c r="G25" i="1"/>
  <c r="H25" i="1"/>
  <c r="I25" i="1"/>
  <c r="J25" i="1"/>
  <c r="K25" i="1"/>
  <c r="C20" i="1"/>
  <c r="D20" i="1"/>
  <c r="E20" i="1"/>
  <c r="F20" i="1"/>
  <c r="G20" i="1"/>
  <c r="H20" i="1"/>
  <c r="I20" i="1"/>
  <c r="J20" i="1"/>
  <c r="K20" i="1"/>
  <c r="B25" i="1"/>
  <c r="B20" i="1"/>
  <c r="C15" i="1"/>
  <c r="D15" i="1"/>
  <c r="E15" i="1"/>
  <c r="F15" i="1"/>
  <c r="G15" i="1"/>
  <c r="H15" i="1"/>
  <c r="I15" i="1"/>
  <c r="J15" i="1"/>
  <c r="K15" i="1"/>
  <c r="B15" i="1"/>
</calcChain>
</file>

<file path=xl/sharedStrings.xml><?xml version="1.0" encoding="utf-8"?>
<sst xmlns="http://schemas.openxmlformats.org/spreadsheetml/2006/main" count="46" uniqueCount="46">
  <si>
    <t>500</t>
  </si>
  <si>
    <t>502</t>
  </si>
  <si>
    <t>505</t>
  </si>
  <si>
    <t>520</t>
  </si>
  <si>
    <t>523</t>
  </si>
  <si>
    <t>525</t>
  </si>
  <si>
    <t>531</t>
  </si>
  <si>
    <t>541</t>
  </si>
  <si>
    <t>548</t>
  </si>
  <si>
    <t>557</t>
  </si>
  <si>
    <t xml:space="preserve">&lt;DynInsCount&gt; </t>
  </si>
  <si>
    <t xml:space="preserve">&lt;IntCount&gt; </t>
  </si>
  <si>
    <t xml:space="preserve">&lt;FPCount&gt; </t>
  </si>
  <si>
    <t xml:space="preserve">&lt;LdCount&gt; </t>
  </si>
  <si>
    <t xml:space="preserve">&lt;StCount&gt; </t>
  </si>
  <si>
    <t xml:space="preserve">&lt;BrCount&gt; </t>
  </si>
  <si>
    <t xml:space="preserve">&lt;BrTaken Percentage&gt; </t>
  </si>
  <si>
    <t xml:space="preserve">&lt;BrForwardTaken Percentage&gt; </t>
  </si>
  <si>
    <t xml:space="preserve">&lt;AvgBBSize&gt; </t>
  </si>
  <si>
    <t xml:space="preserve">&lt;RAWdep 0-2&gt; </t>
  </si>
  <si>
    <t xml:space="preserve">&lt;RAWdep 3-8&gt; </t>
  </si>
  <si>
    <t xml:space="preserve">&lt;RAWdep 9-32&gt; </t>
  </si>
  <si>
    <t xml:space="preserve">&lt;RAWdep greater than 32&gt; </t>
  </si>
  <si>
    <t xml:space="preserve">&lt;WAWdep 0-2&gt; </t>
  </si>
  <si>
    <t xml:space="preserve">&lt;WAWdep 3-8&gt; </t>
  </si>
  <si>
    <t xml:space="preserve">&lt;WAWdep 9-32&gt; </t>
  </si>
  <si>
    <t xml:space="preserve">&lt;WAWdep greater than 32&gt; </t>
  </si>
  <si>
    <t>&lt;WARdep 0-2&gt;</t>
  </si>
  <si>
    <t xml:space="preserve">&lt;WARdep 3-8&gt; </t>
  </si>
  <si>
    <t xml:space="preserve">&lt;WARdep 9-32&gt; </t>
  </si>
  <si>
    <t xml:space="preserve">&lt;WARdep greater than 32&gt; </t>
  </si>
  <si>
    <t xml:space="preserve">&lt;temporal density_byte 0-2&gt; </t>
  </si>
  <si>
    <t xml:space="preserve">&lt;temporal density_byte 3-8&gt; </t>
  </si>
  <si>
    <t xml:space="preserve">&lt;temporal density_byte 9-16&gt; </t>
  </si>
  <si>
    <t xml:space="preserve">&lt;temporal density_byte 17-32&gt; </t>
  </si>
  <si>
    <t xml:space="preserve">&lt;temporal density_byte greater than 32&gt; </t>
  </si>
  <si>
    <t xml:space="preserve">&lt;temporal density_cacheline 0-2&gt; </t>
  </si>
  <si>
    <t xml:space="preserve">&lt;temporal density_cacheline 3-8&gt; </t>
  </si>
  <si>
    <t xml:space="preserve">&lt;temporal density_cacheline 9-16&gt; </t>
  </si>
  <si>
    <t xml:space="preserve">&lt;temporal density_cacheline 17-32&gt; </t>
  </si>
  <si>
    <t xml:space="preserve">&lt;temporal density_cacheline greater than 32&gt; </t>
  </si>
  <si>
    <t xml:space="preserve">&lt;temporal density_page 0-2&gt; </t>
  </si>
  <si>
    <t xml:space="preserve">&lt;temporal density_page 3-8&gt; </t>
  </si>
  <si>
    <t xml:space="preserve">&lt;temporal density_page 9-16&gt; </t>
  </si>
  <si>
    <t xml:space="preserve">&lt;temporal density_page 17-32&gt; </t>
  </si>
  <si>
    <t>&lt;temporal density_page greater than 32&gt;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</si>
</sst>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2"/>
  <sheetViews>
    <sheetView tabSelected="1" topLeftCell="A17" workbookViewId="0">
      <selection activeCell="B30" sqref="B30:K30"/>
    </sheetView>
  </sheetViews>
  <sheetFormatPr defaultRowHeight="15.45" x14ac:dyDescent="0.4"/>
  <cols>
    <col min="1" max="1" width="41.58203125" bestFit="1" customWidth="1"/>
  </cols>
  <sheetData>
    <row r="1" spans="1:11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4">
      <c r="A2" t="s">
        <v>10</v>
      </c>
      <c r="B2">
        <v>2040416656</v>
      </c>
      <c r="C2">
        <v>14294226</v>
      </c>
      <c r="D2">
        <v>27422683431</v>
      </c>
      <c r="E2">
        <v>10769021452</v>
      </c>
      <c r="F2">
        <v>348323817</v>
      </c>
      <c r="G2">
        <v>453663805103</v>
      </c>
      <c r="H2">
        <v>35728677078</v>
      </c>
      <c r="I2">
        <v>21418756979</v>
      </c>
      <c r="J2">
        <v>51319637424</v>
      </c>
      <c r="K2">
        <v>2504822717</v>
      </c>
    </row>
    <row r="3" spans="1:11" x14ac:dyDescent="0.4">
      <c r="A3" t="s">
        <v>11</v>
      </c>
      <c r="B3">
        <v>1568033729</v>
      </c>
      <c r="C3">
        <v>11221040</v>
      </c>
      <c r="D3">
        <v>20586854909</v>
      </c>
      <c r="E3">
        <v>8373176910</v>
      </c>
      <c r="F3">
        <v>246593961</v>
      </c>
      <c r="G3">
        <v>430878915163</v>
      </c>
      <c r="H3">
        <v>30126155408</v>
      </c>
      <c r="I3">
        <v>17762838692</v>
      </c>
      <c r="J3">
        <v>41102767820</v>
      </c>
      <c r="K3">
        <v>2213696911</v>
      </c>
    </row>
    <row r="4" spans="1:11" x14ac:dyDescent="0.4">
      <c r="A4" t="s">
        <v>12</v>
      </c>
      <c r="B4">
        <v>24708212</v>
      </c>
      <c r="C4">
        <v>31309</v>
      </c>
      <c r="D4">
        <v>7924997</v>
      </c>
      <c r="E4">
        <v>34006121</v>
      </c>
      <c r="F4">
        <v>702876</v>
      </c>
      <c r="G4">
        <v>2060345241</v>
      </c>
      <c r="H4">
        <v>312370573</v>
      </c>
      <c r="I4">
        <v>167722746</v>
      </c>
      <c r="J4">
        <v>1724986307</v>
      </c>
      <c r="K4">
        <v>14372681</v>
      </c>
    </row>
    <row r="5" spans="1:11" x14ac:dyDescent="0.4">
      <c r="A5" t="s">
        <v>13</v>
      </c>
      <c r="B5">
        <v>744342408</v>
      </c>
      <c r="C5">
        <v>3262926</v>
      </c>
      <c r="D5">
        <v>9917887447</v>
      </c>
      <c r="E5">
        <v>3210157835</v>
      </c>
      <c r="F5">
        <v>109046108</v>
      </c>
      <c r="G5">
        <v>108470978162</v>
      </c>
      <c r="H5">
        <v>9252769296</v>
      </c>
      <c r="I5">
        <v>5666152025</v>
      </c>
      <c r="J5">
        <v>13789445931</v>
      </c>
      <c r="K5">
        <v>542490454</v>
      </c>
    </row>
    <row r="6" spans="1:11" x14ac:dyDescent="0.4">
      <c r="A6" t="s">
        <v>14</v>
      </c>
      <c r="B6">
        <v>354187841</v>
      </c>
      <c r="C6">
        <v>2502009</v>
      </c>
      <c r="D6">
        <v>2575390496</v>
      </c>
      <c r="E6">
        <v>1755992364</v>
      </c>
      <c r="F6">
        <v>41641131</v>
      </c>
      <c r="G6">
        <v>26803575173</v>
      </c>
      <c r="H6">
        <v>5721600594</v>
      </c>
      <c r="I6">
        <v>2087444745</v>
      </c>
      <c r="J6">
        <v>8687777223</v>
      </c>
      <c r="K6">
        <v>263564691</v>
      </c>
    </row>
    <row r="7" spans="1:11" x14ac:dyDescent="0.4">
      <c r="A7" t="s">
        <v>15</v>
      </c>
      <c r="B7">
        <v>325864369</v>
      </c>
      <c r="C7">
        <v>2497516</v>
      </c>
      <c r="D7">
        <v>5447060490</v>
      </c>
      <c r="E7">
        <v>1749809130</v>
      </c>
      <c r="F7">
        <v>87468795</v>
      </c>
      <c r="G7">
        <v>19242310796</v>
      </c>
      <c r="H7">
        <v>3698411304</v>
      </c>
      <c r="I7">
        <v>2288471620</v>
      </c>
      <c r="J7">
        <v>8412729439</v>
      </c>
      <c r="K7">
        <v>263257644</v>
      </c>
    </row>
    <row r="8" spans="1:11" x14ac:dyDescent="0.4">
      <c r="A8" t="s">
        <v>16</v>
      </c>
      <c r="B8">
        <v>38.628165000000003</v>
      </c>
      <c r="C8">
        <v>45.243164999999998</v>
      </c>
      <c r="D8">
        <v>46.543469999999999</v>
      </c>
      <c r="E8">
        <v>33.376384000000002</v>
      </c>
      <c r="F8">
        <v>37.134248999999997</v>
      </c>
      <c r="G8">
        <v>79.726336000000003</v>
      </c>
      <c r="H8">
        <v>43.029752000000002</v>
      </c>
      <c r="I8">
        <v>38.529905999999997</v>
      </c>
      <c r="J8">
        <v>50.054679999999998</v>
      </c>
      <c r="K8">
        <v>53.230480999999997</v>
      </c>
    </row>
    <row r="9" spans="1:11" x14ac:dyDescent="0.4">
      <c r="A9" t="s">
        <v>17</v>
      </c>
      <c r="B9">
        <v>22.794678999999999</v>
      </c>
      <c r="C9">
        <v>26.058721999999999</v>
      </c>
      <c r="D9">
        <v>26.122738999999999</v>
      </c>
      <c r="E9">
        <v>25.698461000000002</v>
      </c>
      <c r="F9">
        <v>7.8752649999999997</v>
      </c>
      <c r="G9">
        <v>15.954122999999999</v>
      </c>
      <c r="H9">
        <v>25.976641999999998</v>
      </c>
      <c r="I9">
        <v>19.189385000000001</v>
      </c>
      <c r="J9">
        <v>11.392196999999999</v>
      </c>
      <c r="K9">
        <v>27.969023</v>
      </c>
    </row>
    <row r="10" spans="1:11" x14ac:dyDescent="0.4">
      <c r="A10" t="s">
        <v>18</v>
      </c>
      <c r="B10">
        <v>5.2755359999999998</v>
      </c>
      <c r="C10">
        <v>5.1609290000000003</v>
      </c>
      <c r="D10">
        <v>4.4680669999999996</v>
      </c>
      <c r="E10">
        <v>5.2382999999999997</v>
      </c>
      <c r="F10">
        <v>3.6958259999999998</v>
      </c>
      <c r="G10">
        <v>22.702000999999999</v>
      </c>
      <c r="H10">
        <v>7.9498090000000001</v>
      </c>
      <c r="I10">
        <v>7.4156110000000002</v>
      </c>
      <c r="J10">
        <v>6.0716729999999997</v>
      </c>
      <c r="K10">
        <v>9.2769359999999992</v>
      </c>
    </row>
    <row r="11" spans="1:11" x14ac:dyDescent="0.4">
      <c r="A11" t="s">
        <v>19</v>
      </c>
      <c r="B11">
        <v>1433506547</v>
      </c>
      <c r="C11">
        <v>8601197</v>
      </c>
      <c r="D11">
        <v>14677109908</v>
      </c>
      <c r="E11">
        <v>6514588612</v>
      </c>
      <c r="F11">
        <v>223111339</v>
      </c>
      <c r="G11">
        <v>263245252326</v>
      </c>
      <c r="H11">
        <v>20508841178</v>
      </c>
      <c r="I11">
        <v>11749895275</v>
      </c>
      <c r="J11">
        <v>16832759099</v>
      </c>
      <c r="K11">
        <v>1233129956</v>
      </c>
    </row>
    <row r="12" spans="1:11" x14ac:dyDescent="0.4">
      <c r="A12" t="s">
        <v>20</v>
      </c>
      <c r="B12">
        <v>764305269</v>
      </c>
      <c r="C12">
        <v>5051273</v>
      </c>
      <c r="D12">
        <v>13510014089</v>
      </c>
      <c r="E12">
        <v>3744604092</v>
      </c>
      <c r="F12">
        <v>161516907</v>
      </c>
      <c r="G12">
        <v>180217103018</v>
      </c>
      <c r="H12">
        <v>13329994628</v>
      </c>
      <c r="I12">
        <v>8543424234</v>
      </c>
      <c r="J12">
        <v>25895508750</v>
      </c>
      <c r="K12">
        <v>899287647</v>
      </c>
    </row>
    <row r="13" spans="1:11" x14ac:dyDescent="0.4">
      <c r="A13" t="s">
        <v>21</v>
      </c>
      <c r="B13">
        <v>417548856</v>
      </c>
      <c r="C13">
        <v>3424815</v>
      </c>
      <c r="D13">
        <v>5338205330</v>
      </c>
      <c r="E13">
        <v>2979770738</v>
      </c>
      <c r="F13">
        <v>63928193</v>
      </c>
      <c r="G13">
        <v>78199345465</v>
      </c>
      <c r="H13">
        <v>8737071808</v>
      </c>
      <c r="I13">
        <v>5083032917</v>
      </c>
      <c r="J13">
        <v>16610605814</v>
      </c>
      <c r="K13">
        <v>743979248</v>
      </c>
    </row>
    <row r="14" spans="1:11" x14ac:dyDescent="0.4">
      <c r="A14" t="s">
        <v>22</v>
      </c>
      <c r="B14">
        <v>213854927</v>
      </c>
      <c r="C14">
        <v>4043601</v>
      </c>
      <c r="D14">
        <v>5253541380</v>
      </c>
      <c r="E14">
        <v>2280273752</v>
      </c>
      <c r="F14">
        <v>118722783</v>
      </c>
      <c r="G14">
        <v>187678987351</v>
      </c>
      <c r="H14">
        <v>11350152863</v>
      </c>
      <c r="I14">
        <v>5524726308</v>
      </c>
      <c r="J14">
        <v>15087317270</v>
      </c>
      <c r="K14">
        <v>918496935</v>
      </c>
    </row>
    <row r="15" spans="1:11" x14ac:dyDescent="0.4">
      <c r="B15">
        <f>SUM(B11:B12)/SUM(B11:B14)</f>
        <v>0.7768272650471838</v>
      </c>
      <c r="C15">
        <f t="shared" ref="C15:K15" si="0">SUM(C11:C12)/SUM(C11:C14)</f>
        <v>0.64639665211014352</v>
      </c>
      <c r="D15">
        <f t="shared" si="0"/>
        <v>0.72686809809322073</v>
      </c>
      <c r="E15">
        <f t="shared" si="0"/>
        <v>0.66106294889070827</v>
      </c>
      <c r="F15">
        <f t="shared" si="0"/>
        <v>0.67802279914986907</v>
      </c>
      <c r="G15">
        <f t="shared" si="0"/>
        <v>0.62517540970943419</v>
      </c>
      <c r="H15">
        <f t="shared" si="0"/>
        <v>0.62750431807331075</v>
      </c>
      <c r="I15">
        <f t="shared" si="0"/>
        <v>0.65671880531055893</v>
      </c>
      <c r="J15">
        <f t="shared" si="0"/>
        <v>0.57410257482429639</v>
      </c>
      <c r="K15">
        <f t="shared" si="0"/>
        <v>0.56191759855489143</v>
      </c>
    </row>
    <row r="16" spans="1:11" x14ac:dyDescent="0.4">
      <c r="A16" t="s">
        <v>23</v>
      </c>
      <c r="B16">
        <v>847891240</v>
      </c>
      <c r="C16">
        <v>6561233</v>
      </c>
      <c r="D16">
        <v>7293940624</v>
      </c>
      <c r="E16">
        <v>4230688375</v>
      </c>
      <c r="F16">
        <v>171870662</v>
      </c>
      <c r="G16">
        <v>337967768787</v>
      </c>
      <c r="H16">
        <v>18894852194</v>
      </c>
      <c r="I16">
        <v>8629959659</v>
      </c>
      <c r="J16">
        <v>18205520944</v>
      </c>
      <c r="K16">
        <v>1351789519</v>
      </c>
    </row>
    <row r="17" spans="1:11" x14ac:dyDescent="0.4">
      <c r="A17" t="s">
        <v>24</v>
      </c>
      <c r="B17">
        <v>803799922</v>
      </c>
      <c r="C17">
        <v>5205159</v>
      </c>
      <c r="D17">
        <v>11858558003</v>
      </c>
      <c r="E17">
        <v>3552499923</v>
      </c>
      <c r="F17">
        <v>133614511</v>
      </c>
      <c r="G17">
        <v>222995240200</v>
      </c>
      <c r="H17">
        <v>14256315376</v>
      </c>
      <c r="I17">
        <v>8475936347</v>
      </c>
      <c r="J17">
        <v>22332366071</v>
      </c>
      <c r="K17">
        <v>950331644</v>
      </c>
    </row>
    <row r="18" spans="1:11" x14ac:dyDescent="0.4">
      <c r="A18" t="s">
        <v>25</v>
      </c>
      <c r="B18">
        <v>443844481</v>
      </c>
      <c r="C18">
        <v>2914177</v>
      </c>
      <c r="D18">
        <v>9731803609</v>
      </c>
      <c r="E18">
        <v>2751062538</v>
      </c>
      <c r="F18">
        <v>60930285</v>
      </c>
      <c r="G18">
        <v>46538912689</v>
      </c>
      <c r="H18">
        <v>6759659454</v>
      </c>
      <c r="I18">
        <v>5020127495</v>
      </c>
      <c r="J18">
        <v>7807974607</v>
      </c>
      <c r="K18">
        <v>597907148</v>
      </c>
    </row>
    <row r="19" spans="1:11" x14ac:dyDescent="0.4">
      <c r="A19" t="s">
        <v>26</v>
      </c>
      <c r="B19">
        <v>285930015</v>
      </c>
      <c r="C19">
        <v>2336187</v>
      </c>
      <c r="D19">
        <v>1495246086</v>
      </c>
      <c r="E19">
        <v>1833725905</v>
      </c>
      <c r="F19">
        <v>25537148</v>
      </c>
      <c r="G19">
        <v>38964618086</v>
      </c>
      <c r="H19">
        <v>6320134083</v>
      </c>
      <c r="I19">
        <v>4317354598</v>
      </c>
      <c r="J19">
        <v>7911782022</v>
      </c>
      <c r="K19">
        <v>296913093</v>
      </c>
    </row>
    <row r="20" spans="1:11" x14ac:dyDescent="0.4">
      <c r="B20">
        <f>SUM(B16:B17)/SUM(B16:B19)</f>
        <v>0.6935607727331754</v>
      </c>
      <c r="C20">
        <f t="shared" ref="C20:K20" si="1">SUM(C16:C17)/SUM(C16:C19)</f>
        <v>0.69145917118397893</v>
      </c>
      <c r="D20">
        <f t="shared" si="1"/>
        <v>0.6304405326898922</v>
      </c>
      <c r="E20">
        <f t="shared" si="1"/>
        <v>0.62930166032724111</v>
      </c>
      <c r="F20">
        <f t="shared" si="1"/>
        <v>0.77939314173101837</v>
      </c>
      <c r="G20">
        <f t="shared" si="1"/>
        <v>0.86773711318999036</v>
      </c>
      <c r="H20">
        <f t="shared" si="1"/>
        <v>0.71707718758588512</v>
      </c>
      <c r="I20">
        <f t="shared" si="1"/>
        <v>0.6468876987636798</v>
      </c>
      <c r="J20">
        <f t="shared" si="1"/>
        <v>0.72057563006948755</v>
      </c>
      <c r="K20">
        <f t="shared" si="1"/>
        <v>0.720101144212276</v>
      </c>
    </row>
    <row r="21" spans="1:11" x14ac:dyDescent="0.4">
      <c r="A21" t="s">
        <v>27</v>
      </c>
      <c r="B21">
        <v>962506903</v>
      </c>
      <c r="C21">
        <v>6534847</v>
      </c>
      <c r="D21">
        <v>7720417421</v>
      </c>
      <c r="E21">
        <v>4380550531</v>
      </c>
      <c r="F21">
        <v>191850200</v>
      </c>
      <c r="G21">
        <v>237488197133</v>
      </c>
      <c r="H21">
        <v>14494038532</v>
      </c>
      <c r="I21">
        <v>6576881130</v>
      </c>
      <c r="J21">
        <v>13602174325</v>
      </c>
      <c r="K21">
        <v>920272539</v>
      </c>
    </row>
    <row r="22" spans="1:11" x14ac:dyDescent="0.4">
      <c r="A22" t="s">
        <v>28</v>
      </c>
      <c r="B22">
        <v>759401064</v>
      </c>
      <c r="C22">
        <v>4969003</v>
      </c>
      <c r="D22">
        <v>11138565970</v>
      </c>
      <c r="E22">
        <v>3482443079</v>
      </c>
      <c r="F22">
        <v>114919095</v>
      </c>
      <c r="G22">
        <v>157116131632</v>
      </c>
      <c r="H22">
        <v>12831281392</v>
      </c>
      <c r="I22">
        <v>8161857858</v>
      </c>
      <c r="J22">
        <v>23846841816</v>
      </c>
      <c r="K22">
        <v>913936968</v>
      </c>
    </row>
    <row r="23" spans="1:11" x14ac:dyDescent="0.4">
      <c r="A23" t="s">
        <v>29</v>
      </c>
      <c r="B23">
        <v>413615457</v>
      </c>
      <c r="C23">
        <v>3275846</v>
      </c>
      <c r="D23">
        <v>9682511155</v>
      </c>
      <c r="E23">
        <v>3102830416</v>
      </c>
      <c r="F23">
        <v>46091784</v>
      </c>
      <c r="G23">
        <v>77342350753</v>
      </c>
      <c r="H23">
        <v>10985494239</v>
      </c>
      <c r="I23">
        <v>6797185297</v>
      </c>
      <c r="J23">
        <v>10482967517</v>
      </c>
      <c r="K23">
        <v>862701740</v>
      </c>
    </row>
    <row r="24" spans="1:11" x14ac:dyDescent="0.4">
      <c r="A24" t="s">
        <v>30</v>
      </c>
      <c r="B24">
        <v>245941996</v>
      </c>
      <c r="C24">
        <v>2236825</v>
      </c>
      <c r="D24">
        <v>1837981367</v>
      </c>
      <c r="E24">
        <v>1402152474</v>
      </c>
      <c r="F24">
        <v>39091292</v>
      </c>
      <c r="G24">
        <v>174519860010</v>
      </c>
      <c r="H24">
        <v>7920146701</v>
      </c>
      <c r="I24">
        <v>4907453571</v>
      </c>
      <c r="J24">
        <v>8325659663</v>
      </c>
      <c r="K24">
        <v>500029917</v>
      </c>
    </row>
    <row r="25" spans="1:11" x14ac:dyDescent="0.4">
      <c r="B25">
        <f>SUM(B21:B22)/SUM(B21:B24)</f>
        <v>0.72304554688852041</v>
      </c>
      <c r="C25">
        <f t="shared" ref="C25:K25" si="2">SUM(C21:C22)/SUM(C21:C24)</f>
        <v>0.67604006717941934</v>
      </c>
      <c r="D25">
        <f t="shared" si="2"/>
        <v>0.62078040598882933</v>
      </c>
      <c r="E25">
        <f t="shared" si="2"/>
        <v>0.63575424888622645</v>
      </c>
      <c r="F25">
        <f t="shared" si="2"/>
        <v>0.78266982852362943</v>
      </c>
      <c r="G25">
        <f t="shared" si="2"/>
        <v>0.61040178359905473</v>
      </c>
      <c r="H25">
        <f t="shared" si="2"/>
        <v>0.59106104249886349</v>
      </c>
      <c r="I25">
        <f t="shared" si="2"/>
        <v>0.55736975314807524</v>
      </c>
      <c r="J25">
        <f t="shared" si="2"/>
        <v>0.66566983489372245</v>
      </c>
      <c r="K25">
        <f t="shared" si="2"/>
        <v>0.57373890006316053</v>
      </c>
    </row>
    <row r="26" spans="1:11" x14ac:dyDescent="0.4">
      <c r="A26" t="s">
        <v>31</v>
      </c>
      <c r="B26">
        <v>3.9999999999999998E-6</v>
      </c>
      <c r="C26">
        <v>1.348E-3</v>
      </c>
      <c r="D26">
        <v>5.0000000000000004E-6</v>
      </c>
      <c r="E26">
        <v>4.26E-4</v>
      </c>
      <c r="F26">
        <v>2.7300000000000002E-4</v>
      </c>
      <c r="G26">
        <v>2.0969999999999999E-3</v>
      </c>
      <c r="H26">
        <v>2.1000000000000001E-4</v>
      </c>
      <c r="I26">
        <v>5.2589999999999998E-3</v>
      </c>
      <c r="J26">
        <v>9.9999999999999995E-7</v>
      </c>
      <c r="K26">
        <v>7.8569999999999994E-3</v>
      </c>
    </row>
    <row r="27" spans="1:11" x14ac:dyDescent="0.4">
      <c r="A27" t="s">
        <v>32</v>
      </c>
      <c r="B27">
        <v>2.2199E-2</v>
      </c>
      <c r="C27">
        <v>4.1935E-2</v>
      </c>
      <c r="D27">
        <v>4.2715999999999997E-2</v>
      </c>
      <c r="E27">
        <v>2.8565E-2</v>
      </c>
      <c r="F27">
        <v>2.7144000000000001E-2</v>
      </c>
      <c r="G27">
        <v>2.7959000000000001E-2</v>
      </c>
      <c r="H27">
        <v>8.8396000000000002E-2</v>
      </c>
      <c r="I27">
        <v>7.2314000000000003E-2</v>
      </c>
      <c r="J27">
        <v>0.135959</v>
      </c>
      <c r="K27">
        <v>6.1499999999999999E-2</v>
      </c>
    </row>
    <row r="28" spans="1:11" x14ac:dyDescent="0.4">
      <c r="A28" t="s">
        <v>33</v>
      </c>
      <c r="B28">
        <v>2.1458999999999999E-2</v>
      </c>
      <c r="C28">
        <v>4.7461000000000003E-2</v>
      </c>
      <c r="D28">
        <v>6.6526000000000002E-2</v>
      </c>
      <c r="E28">
        <v>3.1194E-2</v>
      </c>
      <c r="F28">
        <v>3.0071000000000001E-2</v>
      </c>
      <c r="G28">
        <v>5.1560000000000002E-2</v>
      </c>
      <c r="H28">
        <v>5.4087999999999997E-2</v>
      </c>
      <c r="I28">
        <v>0.13227700000000001</v>
      </c>
      <c r="J28">
        <v>1.1228999999999999E-2</v>
      </c>
      <c r="K28">
        <v>7.7431E-2</v>
      </c>
    </row>
    <row r="29" spans="1:11" x14ac:dyDescent="0.4">
      <c r="A29" t="s">
        <v>34</v>
      </c>
      <c r="B29">
        <v>9.0628E-2</v>
      </c>
      <c r="C29">
        <v>8.695E-2</v>
      </c>
      <c r="D29">
        <v>6.3731999999999997E-2</v>
      </c>
      <c r="E29">
        <v>7.4534000000000003E-2</v>
      </c>
      <c r="F29">
        <v>4.5298999999999999E-2</v>
      </c>
      <c r="G29">
        <v>3.0145999999999999E-2</v>
      </c>
      <c r="H29">
        <v>7.1551000000000003E-2</v>
      </c>
      <c r="I29">
        <v>7.9522999999999996E-2</v>
      </c>
      <c r="J29">
        <v>8.6503999999999998E-2</v>
      </c>
      <c r="K29">
        <v>7.2232000000000005E-2</v>
      </c>
    </row>
    <row r="30" spans="1:11" x14ac:dyDescent="0.4">
      <c r="A30" t="s">
        <v>35</v>
      </c>
      <c r="B30">
        <v>0.86570899999999995</v>
      </c>
      <c r="C30">
        <v>0.82230499999999995</v>
      </c>
      <c r="D30">
        <v>0.82701999999999998</v>
      </c>
      <c r="E30">
        <v>0.86528099999999997</v>
      </c>
      <c r="F30">
        <v>0.89721300000000004</v>
      </c>
      <c r="G30">
        <v>0.88823799999999997</v>
      </c>
      <c r="H30">
        <v>0.78575499999999998</v>
      </c>
      <c r="I30">
        <v>0.71062800000000004</v>
      </c>
      <c r="J30">
        <v>0.76630699999999996</v>
      </c>
      <c r="K30">
        <v>0.78098100000000004</v>
      </c>
    </row>
    <row r="32" spans="1:11" x14ac:dyDescent="0.4">
      <c r="A32" t="s">
        <v>36</v>
      </c>
      <c r="B32">
        <v>0.414773</v>
      </c>
      <c r="C32">
        <v>0.56334300000000004</v>
      </c>
      <c r="D32">
        <v>0.30098799999999998</v>
      </c>
      <c r="E32">
        <v>0.43484699999999998</v>
      </c>
      <c r="F32">
        <v>0.613124</v>
      </c>
      <c r="G32">
        <v>0.83130800000000005</v>
      </c>
      <c r="H32">
        <v>0.51795000000000002</v>
      </c>
      <c r="I32">
        <v>0.47503099999999998</v>
      </c>
      <c r="J32">
        <v>0.42715799999999998</v>
      </c>
      <c r="K32">
        <v>0.57203700000000002</v>
      </c>
    </row>
    <row r="33" spans="1:11" x14ac:dyDescent="0.4">
      <c r="A33" t="s">
        <v>37</v>
      </c>
      <c r="B33">
        <v>0.229103</v>
      </c>
      <c r="C33">
        <v>0.15546499999999999</v>
      </c>
      <c r="D33">
        <v>0.313473</v>
      </c>
      <c r="E33">
        <v>0.225269</v>
      </c>
      <c r="F33">
        <v>8.7321999999999997E-2</v>
      </c>
      <c r="G33">
        <v>5.5481999999999997E-2</v>
      </c>
      <c r="H33">
        <v>0.19014900000000001</v>
      </c>
      <c r="I33">
        <v>0.15034800000000001</v>
      </c>
      <c r="J33">
        <v>0.118726</v>
      </c>
      <c r="K33">
        <v>0.21429999999999999</v>
      </c>
    </row>
    <row r="34" spans="1:11" x14ac:dyDescent="0.4">
      <c r="A34" t="s">
        <v>38</v>
      </c>
      <c r="B34">
        <v>8.8339000000000001E-2</v>
      </c>
      <c r="C34">
        <v>7.0596999999999993E-2</v>
      </c>
      <c r="D34">
        <v>0.100235</v>
      </c>
      <c r="E34">
        <v>7.3869000000000004E-2</v>
      </c>
      <c r="F34">
        <v>4.0425000000000003E-2</v>
      </c>
      <c r="G34">
        <v>2.6596999999999999E-2</v>
      </c>
      <c r="H34">
        <v>0.107541</v>
      </c>
      <c r="I34">
        <v>0.12380099999999999</v>
      </c>
      <c r="J34">
        <v>7.6633000000000007E-2</v>
      </c>
      <c r="K34">
        <v>4.9643E-2</v>
      </c>
    </row>
    <row r="35" spans="1:11" x14ac:dyDescent="0.4">
      <c r="A35" t="s">
        <v>39</v>
      </c>
      <c r="B35">
        <v>6.5917000000000003E-2</v>
      </c>
      <c r="C35">
        <v>6.8609000000000003E-2</v>
      </c>
      <c r="D35">
        <v>2.2793000000000001E-2</v>
      </c>
      <c r="E35">
        <v>6.4852000000000007E-2</v>
      </c>
      <c r="F35">
        <v>3.6298999999999998E-2</v>
      </c>
      <c r="G35">
        <v>2.6748999999999998E-2</v>
      </c>
      <c r="H35">
        <v>5.6831E-2</v>
      </c>
      <c r="I35">
        <v>0.11321299999999999</v>
      </c>
      <c r="J35">
        <v>9.5033999999999993E-2</v>
      </c>
      <c r="K35">
        <v>4.7771000000000001E-2</v>
      </c>
    </row>
    <row r="36" spans="1:11" x14ac:dyDescent="0.4">
      <c r="A36" t="s">
        <v>40</v>
      </c>
      <c r="B36">
        <v>0.20186799999999999</v>
      </c>
      <c r="C36">
        <v>0.141986</v>
      </c>
      <c r="D36">
        <v>0.26251000000000002</v>
      </c>
      <c r="E36">
        <v>0.20116300000000001</v>
      </c>
      <c r="F36">
        <v>0.22283</v>
      </c>
      <c r="G36">
        <v>5.9864000000000001E-2</v>
      </c>
      <c r="H36">
        <v>0.127529</v>
      </c>
      <c r="I36">
        <v>0.13760600000000001</v>
      </c>
      <c r="J36">
        <v>0.28244900000000001</v>
      </c>
      <c r="K36">
        <v>0.11624900000000001</v>
      </c>
    </row>
    <row r="38" spans="1:11" x14ac:dyDescent="0.4">
      <c r="A38" t="s">
        <v>41</v>
      </c>
      <c r="B38">
        <v>0.75217800000000001</v>
      </c>
      <c r="C38">
        <v>0.81639600000000001</v>
      </c>
      <c r="D38">
        <v>0.66859599999999997</v>
      </c>
      <c r="E38">
        <v>0.72895799999999999</v>
      </c>
      <c r="F38">
        <v>0.86697500000000005</v>
      </c>
      <c r="G38">
        <v>0.96554799999999996</v>
      </c>
      <c r="H38">
        <v>0.90812000000000004</v>
      </c>
      <c r="I38">
        <v>0.91825800000000002</v>
      </c>
      <c r="J38">
        <v>0.958144</v>
      </c>
      <c r="K38">
        <v>0.85098300000000004</v>
      </c>
    </row>
    <row r="39" spans="1:11" x14ac:dyDescent="0.4">
      <c r="A39" t="s">
        <v>42</v>
      </c>
      <c r="B39">
        <v>0.177426</v>
      </c>
      <c r="C39">
        <v>0.115231</v>
      </c>
      <c r="D39">
        <v>0.24743200000000001</v>
      </c>
      <c r="E39">
        <v>0.17452400000000001</v>
      </c>
      <c r="F39">
        <v>7.0348999999999995E-2</v>
      </c>
      <c r="G39">
        <v>2.3518000000000001E-2</v>
      </c>
      <c r="H39">
        <v>7.7142000000000002E-2</v>
      </c>
      <c r="I39">
        <v>7.1392999999999998E-2</v>
      </c>
      <c r="J39">
        <v>3.8540999999999999E-2</v>
      </c>
      <c r="K39">
        <v>0.115615</v>
      </c>
    </row>
    <row r="40" spans="1:11" x14ac:dyDescent="0.4">
      <c r="A40" t="s">
        <v>43</v>
      </c>
      <c r="B40">
        <v>5.3256999999999999E-2</v>
      </c>
      <c r="C40">
        <v>3.5771999999999998E-2</v>
      </c>
      <c r="D40">
        <v>2.4441999999999998E-2</v>
      </c>
      <c r="E40">
        <v>3.5267E-2</v>
      </c>
      <c r="F40">
        <v>1.7947000000000001E-2</v>
      </c>
      <c r="G40">
        <v>5.7039999999999999E-3</v>
      </c>
      <c r="H40">
        <v>8.8979999999999997E-3</v>
      </c>
      <c r="I40">
        <v>6.1939999999999999E-3</v>
      </c>
      <c r="J40">
        <v>3.313E-3</v>
      </c>
      <c r="K40">
        <v>1.3067E-2</v>
      </c>
    </row>
    <row r="41" spans="1:11" x14ac:dyDescent="0.4">
      <c r="A41" t="s">
        <v>44</v>
      </c>
      <c r="B41">
        <v>1.7136999999999999E-2</v>
      </c>
      <c r="C41">
        <v>2.0971E-2</v>
      </c>
      <c r="D41">
        <v>1.5762000000000002E-2</v>
      </c>
      <c r="E41">
        <v>1.9307999999999999E-2</v>
      </c>
      <c r="F41">
        <v>1.2711999999999999E-2</v>
      </c>
      <c r="G41">
        <v>3.0330000000000001E-3</v>
      </c>
      <c r="H41">
        <v>5.0359999999999997E-3</v>
      </c>
      <c r="I41">
        <v>1.9250000000000001E-3</v>
      </c>
      <c r="J41">
        <v>1.9999999999999999E-6</v>
      </c>
      <c r="K41">
        <v>1.1439E-2</v>
      </c>
    </row>
    <row r="42" spans="1:11" x14ac:dyDescent="0.4">
      <c r="A42" t="s">
        <v>45</v>
      </c>
      <c r="B42">
        <v>1.9999999999999999E-6</v>
      </c>
      <c r="C42">
        <v>1.1629E-2</v>
      </c>
      <c r="D42">
        <v>4.3768000000000001E-2</v>
      </c>
      <c r="E42">
        <v>4.1944000000000002E-2</v>
      </c>
      <c r="F42">
        <v>3.2016000000000003E-2</v>
      </c>
      <c r="G42">
        <v>2.1970000000000002E-3</v>
      </c>
      <c r="H42">
        <v>8.0400000000000003E-4</v>
      </c>
      <c r="I42">
        <v>2.2300000000000002E-3</v>
      </c>
      <c r="J42">
        <v>0</v>
      </c>
      <c r="K42">
        <v>8.8959999999999994E-3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宇廷 鄭</cp:lastModifiedBy>
  <dcterms:created xsi:type="dcterms:W3CDTF">2026-04-23T16:53:56Z</dcterms:created>
  <dcterms:modified xsi:type="dcterms:W3CDTF">2026-04-23T17:00:44Z</dcterms:modified>
</cp:coreProperties>
</file>