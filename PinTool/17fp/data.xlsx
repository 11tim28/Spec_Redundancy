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Texas\26S\Perf\project\PinTool\17fp\"/>
    </mc:Choice>
  </mc:AlternateContent>
  <xr:revisionPtr revIDLastSave="0" documentId="13_ncr:1_{9947CBC5-B7D4-4123-B0F9-E5B32268995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D25" i="1"/>
  <c r="E25" i="1"/>
  <c r="F25" i="1"/>
  <c r="G25" i="1"/>
  <c r="H25" i="1"/>
  <c r="I25" i="1"/>
  <c r="J25" i="1"/>
  <c r="K25" i="1"/>
  <c r="L25" i="1"/>
  <c r="C20" i="1"/>
  <c r="D20" i="1"/>
  <c r="E20" i="1"/>
  <c r="F20" i="1"/>
  <c r="G20" i="1"/>
  <c r="H20" i="1"/>
  <c r="I20" i="1"/>
  <c r="J20" i="1"/>
  <c r="K20" i="1"/>
  <c r="L20" i="1"/>
  <c r="C15" i="1"/>
  <c r="D15" i="1"/>
  <c r="E15" i="1"/>
  <c r="F15" i="1"/>
  <c r="G15" i="1"/>
  <c r="H15" i="1"/>
  <c r="I15" i="1"/>
  <c r="J15" i="1"/>
  <c r="K15" i="1"/>
  <c r="L15" i="1"/>
  <c r="B25" i="1"/>
  <c r="B20" i="1"/>
  <c r="B15" i="1"/>
</calcChain>
</file>

<file path=xl/sharedStrings.xml><?xml version="1.0" encoding="utf-8"?>
<sst xmlns="http://schemas.openxmlformats.org/spreadsheetml/2006/main" count="47" uniqueCount="47">
  <si>
    <t>503</t>
  </si>
  <si>
    <t>507</t>
  </si>
  <si>
    <t>508</t>
  </si>
  <si>
    <t>511</t>
  </si>
  <si>
    <t>519</t>
  </si>
  <si>
    <t>521</t>
  </si>
  <si>
    <t>526</t>
  </si>
  <si>
    <t>527</t>
  </si>
  <si>
    <t>538</t>
  </si>
  <si>
    <t>544</t>
  </si>
  <si>
    <t>549</t>
  </si>
  <si>
    <t xml:space="preserve">&lt;DynInsCount&gt; </t>
  </si>
  <si>
    <t xml:space="preserve">&lt;IntCount&gt; </t>
  </si>
  <si>
    <t xml:space="preserve">&lt;FPCount&gt; </t>
  </si>
  <si>
    <t xml:space="preserve">&lt;LdCount&gt; </t>
  </si>
  <si>
    <t xml:space="preserve">&lt;StCount&gt; </t>
  </si>
  <si>
    <t xml:space="preserve">&lt;BrCount&gt; </t>
  </si>
  <si>
    <t xml:space="preserve">&lt;BrTaken Percentage&gt; </t>
  </si>
  <si>
    <t xml:space="preserve">&lt;BrForwardTaken Percentage&gt; </t>
  </si>
  <si>
    <t xml:space="preserve">&lt;AvgBBSize&gt; </t>
  </si>
  <si>
    <t xml:space="preserve">&lt;RAWdep 0-2&gt; </t>
  </si>
  <si>
    <t xml:space="preserve">&lt;RAWdep 3-8&gt; </t>
  </si>
  <si>
    <t xml:space="preserve">&lt;RAWdep 9-32&gt; </t>
  </si>
  <si>
    <t xml:space="preserve">&lt;RAWdep greater than 32&gt; </t>
  </si>
  <si>
    <t xml:space="preserve">&lt;WAWdep 0-2&gt; </t>
  </si>
  <si>
    <t xml:space="preserve">&lt;WAWdep 3-8&gt; </t>
  </si>
  <si>
    <t xml:space="preserve">&lt;WAWdep 9-32&gt; </t>
  </si>
  <si>
    <t xml:space="preserve">&lt;WAWdep greater than 32&gt; </t>
  </si>
  <si>
    <t>&lt;WARdep 0-2&gt;</t>
  </si>
  <si>
    <t xml:space="preserve">&lt;WARdep 3-8&gt; </t>
  </si>
  <si>
    <t xml:space="preserve">&lt;WARdep 9-32&gt; </t>
  </si>
  <si>
    <t xml:space="preserve">&lt;WARdep greater than 32&gt; </t>
  </si>
  <si>
    <t xml:space="preserve">&lt;temporal density_byte 0-2&gt; </t>
  </si>
  <si>
    <t xml:space="preserve">&lt;temporal density_byte 3-8&gt; </t>
  </si>
  <si>
    <t xml:space="preserve">&lt;temporal density_byte 9-16&gt; </t>
  </si>
  <si>
    <t xml:space="preserve">&lt;temporal density_byte 17-32&gt; </t>
  </si>
  <si>
    <t xml:space="preserve">&lt;temporal density_byte greater than 32&gt; </t>
  </si>
  <si>
    <t xml:space="preserve">&lt;temporal density_cacheline 0-2&gt; </t>
  </si>
  <si>
    <t xml:space="preserve">&lt;temporal density_cacheline 3-8&gt; </t>
  </si>
  <si>
    <t xml:space="preserve">&lt;temporal density_cacheline 9-16&gt; </t>
  </si>
  <si>
    <t xml:space="preserve">&lt;temporal density_cacheline 17-32&gt; </t>
  </si>
  <si>
    <t xml:space="preserve">&lt;temporal density_cacheline greater than 32&gt; </t>
  </si>
  <si>
    <t xml:space="preserve">&lt;temporal density_page 0-2&gt; </t>
  </si>
  <si>
    <t xml:space="preserve">&lt;temporal density_page 3-8&gt; </t>
  </si>
  <si>
    <t xml:space="preserve">&lt;temporal density_page 9-16&gt; </t>
  </si>
  <si>
    <t xml:space="preserve">&lt;temporal density_page 17-32&gt; </t>
  </si>
  <si>
    <t>&lt;temporal density_page greater than 32&gt;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</si>
</sst>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selection activeCell="P10" sqref="P10"/>
    </sheetView>
  </sheetViews>
  <sheetFormatPr defaultRowHeight="15.45" x14ac:dyDescent="0.4"/>
  <cols>
    <col min="1" max="1" width="41.58203125" bestFit="1" customWidth="1"/>
  </cols>
  <sheetData>
    <row r="1" spans="1:1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">
      <c r="A2" t="s">
        <v>11</v>
      </c>
      <c r="B2">
        <v>12987421005</v>
      </c>
      <c r="C2">
        <v>14460340082</v>
      </c>
      <c r="D2">
        <v>29409574317</v>
      </c>
      <c r="E2">
        <v>1951781023</v>
      </c>
      <c r="F2">
        <v>6671994324</v>
      </c>
      <c r="G2">
        <v>65283127478</v>
      </c>
      <c r="H2">
        <v>1054758442</v>
      </c>
      <c r="I2">
        <v>120312939605</v>
      </c>
      <c r="J2">
        <v>89540135</v>
      </c>
      <c r="K2">
        <v>6263956460</v>
      </c>
      <c r="L2">
        <v>32862730656</v>
      </c>
    </row>
    <row r="3" spans="1:12" x14ac:dyDescent="0.4">
      <c r="A3" t="s">
        <v>12</v>
      </c>
      <c r="B3">
        <v>8856854634</v>
      </c>
      <c r="C3">
        <v>8744232960</v>
      </c>
      <c r="D3">
        <v>21045902704</v>
      </c>
      <c r="E3">
        <v>1305633362</v>
      </c>
      <c r="F3">
        <v>4072067774</v>
      </c>
      <c r="G3">
        <v>39195372279</v>
      </c>
      <c r="H3">
        <v>739137067</v>
      </c>
      <c r="I3">
        <v>74537529166</v>
      </c>
      <c r="J3">
        <v>63073468</v>
      </c>
      <c r="K3">
        <v>3280827626</v>
      </c>
      <c r="L3">
        <v>25190705237</v>
      </c>
    </row>
    <row r="4" spans="1:12" x14ac:dyDescent="0.4">
      <c r="A4" t="s">
        <v>13</v>
      </c>
      <c r="B4">
        <v>3444295833</v>
      </c>
      <c r="C4">
        <v>5275852657</v>
      </c>
      <c r="D4">
        <v>7341050089</v>
      </c>
      <c r="E4">
        <v>300902257</v>
      </c>
      <c r="F4">
        <v>2486530917</v>
      </c>
      <c r="G4">
        <v>20703677511</v>
      </c>
      <c r="H4">
        <v>133149089</v>
      </c>
      <c r="I4">
        <v>30301973666</v>
      </c>
      <c r="J4">
        <v>15464563</v>
      </c>
      <c r="K4">
        <v>2247916015</v>
      </c>
      <c r="L4">
        <v>704532066</v>
      </c>
    </row>
    <row r="5" spans="1:12" x14ac:dyDescent="0.4">
      <c r="A5" t="s">
        <v>14</v>
      </c>
      <c r="B5">
        <v>6609437312</v>
      </c>
      <c r="C5">
        <v>6191050483</v>
      </c>
      <c r="D5">
        <v>8947154377</v>
      </c>
      <c r="E5">
        <v>702289237</v>
      </c>
      <c r="F5">
        <v>1189331375</v>
      </c>
      <c r="G5">
        <v>21860921149</v>
      </c>
      <c r="H5">
        <v>289708117</v>
      </c>
      <c r="I5">
        <v>35609090941</v>
      </c>
      <c r="J5">
        <v>17947437</v>
      </c>
      <c r="K5">
        <v>1958059536</v>
      </c>
      <c r="L5">
        <v>8415236029</v>
      </c>
    </row>
    <row r="6" spans="1:12" x14ac:dyDescent="0.4">
      <c r="A6" t="s">
        <v>15</v>
      </c>
      <c r="B6">
        <v>1114034480</v>
      </c>
      <c r="C6">
        <v>1944556347</v>
      </c>
      <c r="D6">
        <v>2204536151</v>
      </c>
      <c r="E6">
        <v>296766173</v>
      </c>
      <c r="F6">
        <v>658001000</v>
      </c>
      <c r="G6">
        <v>5442141549</v>
      </c>
      <c r="H6">
        <v>182702449</v>
      </c>
      <c r="I6">
        <v>11903958401</v>
      </c>
      <c r="J6">
        <v>6544155</v>
      </c>
      <c r="K6">
        <v>492713081</v>
      </c>
      <c r="L6">
        <v>5307011949</v>
      </c>
    </row>
    <row r="7" spans="1:12" x14ac:dyDescent="0.4">
      <c r="A7" t="s">
        <v>16</v>
      </c>
      <c r="B7">
        <v>636323477</v>
      </c>
      <c r="C7">
        <v>346162076</v>
      </c>
      <c r="D7">
        <v>992652577</v>
      </c>
      <c r="E7">
        <v>241156175</v>
      </c>
      <c r="F7">
        <v>108126426</v>
      </c>
      <c r="G7">
        <v>4828572231</v>
      </c>
      <c r="H7">
        <v>152383203</v>
      </c>
      <c r="I7">
        <v>12560379764</v>
      </c>
      <c r="J7">
        <v>9723079</v>
      </c>
      <c r="K7">
        <v>657937570</v>
      </c>
      <c r="L7">
        <v>5618694822</v>
      </c>
    </row>
    <row r="8" spans="1:12" x14ac:dyDescent="0.4">
      <c r="A8" t="s">
        <v>17</v>
      </c>
      <c r="B8">
        <v>67.814713999999995</v>
      </c>
      <c r="C8">
        <v>45.393943</v>
      </c>
      <c r="D8">
        <v>63.988608999999997</v>
      </c>
      <c r="E8">
        <v>44.466811</v>
      </c>
      <c r="F8">
        <v>45.721577000000003</v>
      </c>
      <c r="G8">
        <v>75.025462000000005</v>
      </c>
      <c r="H8">
        <v>41.326889999999999</v>
      </c>
      <c r="I8">
        <v>41.219673</v>
      </c>
      <c r="J8">
        <v>44.429876999999998</v>
      </c>
      <c r="K8">
        <v>36.880119999999998</v>
      </c>
      <c r="L8">
        <v>34.723446000000003</v>
      </c>
    </row>
    <row r="9" spans="1:12" x14ac:dyDescent="0.4">
      <c r="A9" t="s">
        <v>18</v>
      </c>
      <c r="B9">
        <v>1.916917</v>
      </c>
      <c r="C9">
        <v>9.9713469999999997</v>
      </c>
      <c r="D9">
        <v>17.619309999999999</v>
      </c>
      <c r="E9">
        <v>31.826124</v>
      </c>
      <c r="F9">
        <v>17.017558000000001</v>
      </c>
      <c r="G9">
        <v>6.9916879999999999</v>
      </c>
      <c r="H9">
        <v>23.239532000000001</v>
      </c>
      <c r="I9">
        <v>9.1721699999999995</v>
      </c>
      <c r="J9">
        <v>17.733169</v>
      </c>
      <c r="K9">
        <v>23.625567</v>
      </c>
      <c r="L9">
        <v>24.376045999999999</v>
      </c>
    </row>
    <row r="10" spans="1:12" x14ac:dyDescent="0.4">
      <c r="A10" t="s">
        <v>19</v>
      </c>
      <c r="B10">
        <v>19.639316000000001</v>
      </c>
      <c r="C10">
        <v>36.775269000000002</v>
      </c>
      <c r="D10">
        <v>29.186674</v>
      </c>
      <c r="E10">
        <v>6.6568069999999997</v>
      </c>
      <c r="F10">
        <v>60.237740000000002</v>
      </c>
      <c r="G10">
        <v>12.784758</v>
      </c>
      <c r="H10">
        <v>6.2997829999999997</v>
      </c>
      <c r="I10">
        <v>8.5834150000000005</v>
      </c>
      <c r="J10">
        <v>8.6407059999999998</v>
      </c>
      <c r="K10">
        <v>8.9925060000000006</v>
      </c>
      <c r="L10">
        <v>5.2220310000000003</v>
      </c>
    </row>
    <row r="11" spans="1:12" x14ac:dyDescent="0.4">
      <c r="A11" t="s">
        <v>20</v>
      </c>
      <c r="B11">
        <v>5309103324</v>
      </c>
      <c r="C11">
        <v>6812656180</v>
      </c>
      <c r="D11">
        <v>9104619562</v>
      </c>
      <c r="E11">
        <v>1044998605</v>
      </c>
      <c r="F11">
        <v>3164975500</v>
      </c>
      <c r="G11">
        <v>30475576001</v>
      </c>
      <c r="H11">
        <v>708144750</v>
      </c>
      <c r="I11">
        <v>62878661252</v>
      </c>
      <c r="J11">
        <v>40164592</v>
      </c>
      <c r="K11">
        <v>3396704321</v>
      </c>
      <c r="L11">
        <v>18660270299</v>
      </c>
    </row>
    <row r="12" spans="1:12" x14ac:dyDescent="0.4">
      <c r="A12" t="s">
        <v>21</v>
      </c>
      <c r="B12">
        <v>4598229015</v>
      </c>
      <c r="C12">
        <v>5950029276</v>
      </c>
      <c r="D12">
        <v>12885484348</v>
      </c>
      <c r="E12">
        <v>836483104</v>
      </c>
      <c r="F12">
        <v>2089538422</v>
      </c>
      <c r="G12">
        <v>37137689231</v>
      </c>
      <c r="H12">
        <v>378478085</v>
      </c>
      <c r="I12">
        <v>63128226028</v>
      </c>
      <c r="J12">
        <v>36286342</v>
      </c>
      <c r="K12">
        <v>2991817942</v>
      </c>
      <c r="L12">
        <v>11646407541</v>
      </c>
    </row>
    <row r="13" spans="1:12" x14ac:dyDescent="0.4">
      <c r="A13" t="s">
        <v>22</v>
      </c>
      <c r="B13">
        <v>7644281972</v>
      </c>
      <c r="C13">
        <v>4446245288</v>
      </c>
      <c r="D13">
        <v>11570444542</v>
      </c>
      <c r="E13">
        <v>731165797</v>
      </c>
      <c r="F13">
        <v>2160582164</v>
      </c>
      <c r="G13">
        <v>22136134099</v>
      </c>
      <c r="H13">
        <v>298407819</v>
      </c>
      <c r="I13">
        <v>38979241601</v>
      </c>
      <c r="J13">
        <v>24361201</v>
      </c>
      <c r="K13">
        <v>1666491124</v>
      </c>
      <c r="L13">
        <v>9320536833</v>
      </c>
    </row>
    <row r="14" spans="1:12" x14ac:dyDescent="0.4">
      <c r="A14" t="s">
        <v>23</v>
      </c>
      <c r="B14">
        <v>10711823834</v>
      </c>
      <c r="C14">
        <v>17456112172</v>
      </c>
      <c r="D14">
        <v>29302226052</v>
      </c>
      <c r="E14">
        <v>289832586</v>
      </c>
      <c r="F14">
        <v>6059704157</v>
      </c>
      <c r="G14">
        <v>41595691030</v>
      </c>
      <c r="H14">
        <v>373897165</v>
      </c>
      <c r="I14">
        <v>50909911453</v>
      </c>
      <c r="J14">
        <v>42719522</v>
      </c>
      <c r="K14">
        <v>2628031821</v>
      </c>
      <c r="L14">
        <v>8529519257</v>
      </c>
    </row>
    <row r="15" spans="1:12" x14ac:dyDescent="0.4">
      <c r="B15">
        <f>SUM(B11:B12)/SUM(B11:B14)</f>
        <v>0.3505352847793104</v>
      </c>
      <c r="C15">
        <f t="shared" ref="C15:L15" si="0">SUM(C11:C12)/SUM(C11:C14)</f>
        <v>0.36817163293080057</v>
      </c>
      <c r="D15">
        <f t="shared" si="0"/>
        <v>0.34981122108443935</v>
      </c>
      <c r="E15">
        <f t="shared" si="0"/>
        <v>0.64823242515456325</v>
      </c>
      <c r="F15">
        <f t="shared" si="0"/>
        <v>0.3899511552855604</v>
      </c>
      <c r="G15">
        <f t="shared" si="0"/>
        <v>0.51477573349841976</v>
      </c>
      <c r="H15">
        <f t="shared" si="0"/>
        <v>0.61777568315326081</v>
      </c>
      <c r="I15">
        <f t="shared" si="0"/>
        <v>0.583646124704567</v>
      </c>
      <c r="J15">
        <f t="shared" si="0"/>
        <v>0.53264161786970798</v>
      </c>
      <c r="K15">
        <f t="shared" si="0"/>
        <v>0.59800573138227986</v>
      </c>
      <c r="L15">
        <f t="shared" si="0"/>
        <v>0.62933416298649725</v>
      </c>
    </row>
    <row r="16" spans="1:12" x14ac:dyDescent="0.4">
      <c r="A16" t="s">
        <v>24</v>
      </c>
      <c r="B16">
        <v>3800512094</v>
      </c>
      <c r="C16">
        <v>5099387389</v>
      </c>
      <c r="D16">
        <v>6061008972</v>
      </c>
      <c r="E16">
        <v>626708544</v>
      </c>
      <c r="F16">
        <v>2370475550</v>
      </c>
      <c r="G16">
        <v>19307213842</v>
      </c>
      <c r="H16">
        <v>534491804</v>
      </c>
      <c r="I16">
        <v>40924588625</v>
      </c>
      <c r="J16">
        <v>27590230</v>
      </c>
      <c r="K16">
        <v>1610988851</v>
      </c>
      <c r="L16">
        <v>12659632928</v>
      </c>
    </row>
    <row r="17" spans="1:12" x14ac:dyDescent="0.4">
      <c r="A17" t="s">
        <v>25</v>
      </c>
      <c r="B17">
        <v>3218860758</v>
      </c>
      <c r="C17">
        <v>4798505397</v>
      </c>
      <c r="D17">
        <v>8939898591</v>
      </c>
      <c r="E17">
        <v>601110758</v>
      </c>
      <c r="F17">
        <v>1631639787</v>
      </c>
      <c r="G17">
        <v>22271737183</v>
      </c>
      <c r="H17">
        <v>320881318</v>
      </c>
      <c r="I17">
        <v>42853101427</v>
      </c>
      <c r="J17">
        <v>33892893</v>
      </c>
      <c r="K17">
        <v>1754105409</v>
      </c>
      <c r="L17">
        <v>11535007102</v>
      </c>
    </row>
    <row r="18" spans="1:12" x14ac:dyDescent="0.4">
      <c r="A18" t="s">
        <v>26</v>
      </c>
      <c r="B18">
        <v>4329430325</v>
      </c>
      <c r="C18">
        <v>2542801962</v>
      </c>
      <c r="D18">
        <v>6891341284</v>
      </c>
      <c r="E18">
        <v>479571052</v>
      </c>
      <c r="F18">
        <v>484740467</v>
      </c>
      <c r="G18">
        <v>17751115438</v>
      </c>
      <c r="H18">
        <v>254871725</v>
      </c>
      <c r="I18">
        <v>28086470730</v>
      </c>
      <c r="J18">
        <v>19712348</v>
      </c>
      <c r="K18">
        <v>1578948654</v>
      </c>
      <c r="L18">
        <v>6898215345</v>
      </c>
    </row>
    <row r="19" spans="1:12" x14ac:dyDescent="0.4">
      <c r="A19" t="s">
        <v>27</v>
      </c>
      <c r="B19">
        <v>1961544073</v>
      </c>
      <c r="C19">
        <v>2009248292</v>
      </c>
      <c r="D19">
        <v>10255780283</v>
      </c>
      <c r="E19">
        <v>461945394</v>
      </c>
      <c r="F19">
        <v>1642173549</v>
      </c>
      <c r="G19">
        <v>7942871937</v>
      </c>
      <c r="H19">
        <v>171651943</v>
      </c>
      <c r="I19">
        <v>19395277312</v>
      </c>
      <c r="J19">
        <v>16267675</v>
      </c>
      <c r="K19">
        <v>1339242548</v>
      </c>
      <c r="L19">
        <v>5325093791</v>
      </c>
    </row>
    <row r="20" spans="1:12" x14ac:dyDescent="0.4">
      <c r="B20">
        <f>SUM(B16:B17)/SUM(B16:B19)</f>
        <v>0.52736211311091075</v>
      </c>
      <c r="C20">
        <f t="shared" ref="C20:L20" si="1">SUM(C16:C17)/SUM(C16:C19)</f>
        <v>0.68497797940108696</v>
      </c>
      <c r="D20">
        <f t="shared" si="1"/>
        <v>0.46661981990682611</v>
      </c>
      <c r="E20">
        <f t="shared" si="1"/>
        <v>0.56598859956646974</v>
      </c>
      <c r="F20">
        <f t="shared" si="1"/>
        <v>0.65297702237974586</v>
      </c>
      <c r="G20">
        <f t="shared" si="1"/>
        <v>0.61806354849218237</v>
      </c>
      <c r="H20">
        <f t="shared" si="1"/>
        <v>0.66727144390462201</v>
      </c>
      <c r="I20">
        <f t="shared" si="1"/>
        <v>0.63826031307557118</v>
      </c>
      <c r="J20">
        <f t="shared" si="1"/>
        <v>0.63083458233535783</v>
      </c>
      <c r="K20">
        <f t="shared" si="1"/>
        <v>0.53556284850519498</v>
      </c>
      <c r="L20">
        <f t="shared" si="1"/>
        <v>0.6643603108927465</v>
      </c>
    </row>
    <row r="21" spans="1:12" x14ac:dyDescent="0.4">
      <c r="A21" t="s">
        <v>28</v>
      </c>
      <c r="B21">
        <v>4631803917</v>
      </c>
      <c r="C21">
        <v>7347979405</v>
      </c>
      <c r="D21">
        <v>7945469008</v>
      </c>
      <c r="E21">
        <v>731810347</v>
      </c>
      <c r="F21">
        <v>3018126732</v>
      </c>
      <c r="G21">
        <v>22600093565</v>
      </c>
      <c r="H21">
        <v>524080401</v>
      </c>
      <c r="I21">
        <v>40675096144</v>
      </c>
      <c r="J21">
        <v>27715595</v>
      </c>
      <c r="K21">
        <v>1747578675</v>
      </c>
      <c r="L21">
        <v>13283430690</v>
      </c>
    </row>
    <row r="22" spans="1:12" x14ac:dyDescent="0.4">
      <c r="A22" t="s">
        <v>29</v>
      </c>
      <c r="B22">
        <v>2291268924</v>
      </c>
      <c r="C22">
        <v>3652357221</v>
      </c>
      <c r="D22">
        <v>6212109325</v>
      </c>
      <c r="E22">
        <v>587339848</v>
      </c>
      <c r="F22">
        <v>1302845201</v>
      </c>
      <c r="G22">
        <v>21544771090</v>
      </c>
      <c r="H22">
        <v>329757626</v>
      </c>
      <c r="I22">
        <v>41955344559</v>
      </c>
      <c r="J22">
        <v>26062570</v>
      </c>
      <c r="K22">
        <v>1455652347</v>
      </c>
      <c r="L22">
        <v>11220489221</v>
      </c>
    </row>
    <row r="23" spans="1:12" x14ac:dyDescent="0.4">
      <c r="A23" t="s">
        <v>30</v>
      </c>
      <c r="B23">
        <v>4655675549</v>
      </c>
      <c r="C23">
        <v>1708963244</v>
      </c>
      <c r="D23">
        <v>7831440721</v>
      </c>
      <c r="E23">
        <v>367156922</v>
      </c>
      <c r="F23">
        <v>547011277</v>
      </c>
      <c r="G23">
        <v>17203563563</v>
      </c>
      <c r="H23">
        <v>278033180</v>
      </c>
      <c r="I23">
        <v>26774645257</v>
      </c>
      <c r="J23">
        <v>29209090</v>
      </c>
      <c r="K23">
        <v>1708147381</v>
      </c>
      <c r="L23">
        <v>7247673076</v>
      </c>
    </row>
    <row r="24" spans="1:12" x14ac:dyDescent="0.4">
      <c r="A24" t="s">
        <v>31</v>
      </c>
      <c r="B24">
        <v>1731598614</v>
      </c>
      <c r="C24">
        <v>1740642924</v>
      </c>
      <c r="D24">
        <v>10159009514</v>
      </c>
      <c r="E24">
        <v>483028367</v>
      </c>
      <c r="F24">
        <v>1261045896</v>
      </c>
      <c r="G24">
        <v>5924509938</v>
      </c>
      <c r="H24">
        <v>150025339</v>
      </c>
      <c r="I24">
        <v>21854351837</v>
      </c>
      <c r="J24">
        <v>14475616</v>
      </c>
      <c r="K24">
        <v>1371906810</v>
      </c>
      <c r="L24">
        <v>4666355914</v>
      </c>
    </row>
    <row r="25" spans="1:12" x14ac:dyDescent="0.4">
      <c r="B25">
        <f>SUM(B21:B22)/SUM(B21:B24)</f>
        <v>0.52012714912086755</v>
      </c>
      <c r="C25">
        <f t="shared" ref="C25:L25" si="2">SUM(C21:C22)/SUM(C21:C24)</f>
        <v>0.76127198445156696</v>
      </c>
      <c r="D25">
        <f t="shared" si="2"/>
        <v>0.44038713923168493</v>
      </c>
      <c r="E25">
        <f t="shared" si="2"/>
        <v>0.60808953005629263</v>
      </c>
      <c r="F25">
        <f t="shared" si="2"/>
        <v>0.70500104637616967</v>
      </c>
      <c r="G25">
        <f t="shared" si="2"/>
        <v>0.65620539053358962</v>
      </c>
      <c r="H25">
        <f t="shared" si="2"/>
        <v>0.666074052281595</v>
      </c>
      <c r="I25">
        <f t="shared" si="2"/>
        <v>0.62951999558913663</v>
      </c>
      <c r="J25">
        <f t="shared" si="2"/>
        <v>0.55178104695889785</v>
      </c>
      <c r="K25">
        <f t="shared" si="2"/>
        <v>0.5098019449081469</v>
      </c>
      <c r="L25">
        <f t="shared" si="2"/>
        <v>0.67285282808244995</v>
      </c>
    </row>
    <row r="26" spans="1:12" x14ac:dyDescent="0.4">
      <c r="A26" t="s">
        <v>32</v>
      </c>
      <c r="B26">
        <v>9.9999999999999995E-7</v>
      </c>
      <c r="C26">
        <v>5.0000000000000004E-6</v>
      </c>
      <c r="D26">
        <v>1.2199999999999999E-3</v>
      </c>
      <c r="E26">
        <v>3.9999999999999998E-6</v>
      </c>
      <c r="F26">
        <v>0</v>
      </c>
      <c r="G26">
        <v>5.0000000000000004E-6</v>
      </c>
      <c r="H26">
        <v>4.3600000000000003E-4</v>
      </c>
      <c r="I26">
        <v>1.4E-5</v>
      </c>
      <c r="J26">
        <v>3.7910000000000001E-3</v>
      </c>
      <c r="K26">
        <v>9.9999999999999995E-7</v>
      </c>
      <c r="L26">
        <v>2.7139999999999998E-3</v>
      </c>
    </row>
    <row r="27" spans="1:12" x14ac:dyDescent="0.4">
      <c r="A27" t="s">
        <v>33</v>
      </c>
      <c r="B27">
        <v>2.8226000000000001E-2</v>
      </c>
      <c r="C27">
        <v>1.0298E-2</v>
      </c>
      <c r="D27">
        <v>3.7087000000000002E-2</v>
      </c>
      <c r="E27">
        <v>4.4489000000000001E-2</v>
      </c>
      <c r="F27">
        <v>1.3439999999999999E-3</v>
      </c>
      <c r="G27">
        <v>4.4422000000000003E-2</v>
      </c>
      <c r="H27">
        <v>2.8804E-2</v>
      </c>
      <c r="I27">
        <v>1.2914999999999999E-2</v>
      </c>
      <c r="J27">
        <v>5.4177000000000003E-2</v>
      </c>
      <c r="K27">
        <v>6.3107999999999997E-2</v>
      </c>
      <c r="L27">
        <v>3.2347000000000001E-2</v>
      </c>
    </row>
    <row r="28" spans="1:12" x14ac:dyDescent="0.4">
      <c r="A28" t="s">
        <v>34</v>
      </c>
      <c r="B28">
        <v>1.3499000000000001E-2</v>
      </c>
      <c r="C28">
        <v>9.0430000000000007E-3</v>
      </c>
      <c r="D28">
        <v>4.3581000000000002E-2</v>
      </c>
      <c r="E28">
        <v>2.0684000000000001E-2</v>
      </c>
      <c r="F28">
        <v>1.9449999999999999E-3</v>
      </c>
      <c r="G28">
        <v>1.9835999999999999E-2</v>
      </c>
      <c r="H28">
        <v>3.5275000000000001E-2</v>
      </c>
      <c r="I28">
        <v>1.7964000000000001E-2</v>
      </c>
      <c r="J28">
        <v>5.9170000000000004E-3</v>
      </c>
      <c r="K28">
        <v>5.0985999999999997E-2</v>
      </c>
      <c r="L28">
        <v>2.5846999999999998E-2</v>
      </c>
    </row>
    <row r="29" spans="1:12" x14ac:dyDescent="0.4">
      <c r="A29" t="s">
        <v>35</v>
      </c>
      <c r="B29">
        <v>1.2760000000000001E-2</v>
      </c>
      <c r="C29">
        <v>1.4328E-2</v>
      </c>
      <c r="D29">
        <v>5.5760999999999998E-2</v>
      </c>
      <c r="E29">
        <v>4.6044000000000002E-2</v>
      </c>
      <c r="F29">
        <v>3.8549999999999999E-3</v>
      </c>
      <c r="G29">
        <v>2.2790999999999999E-2</v>
      </c>
      <c r="H29">
        <v>5.6342000000000003E-2</v>
      </c>
      <c r="I29">
        <v>2.0608000000000001E-2</v>
      </c>
      <c r="J29">
        <v>0.18931000000000001</v>
      </c>
      <c r="K29">
        <v>1.0370000000000001E-2</v>
      </c>
      <c r="L29">
        <v>0.11252</v>
      </c>
    </row>
    <row r="30" spans="1:12" x14ac:dyDescent="0.4">
      <c r="A30" t="s">
        <v>36</v>
      </c>
      <c r="B30">
        <v>0.94551300000000005</v>
      </c>
      <c r="C30">
        <v>0.96632600000000002</v>
      </c>
      <c r="D30">
        <v>0.86235200000000001</v>
      </c>
      <c r="E30">
        <v>0.88877899999999999</v>
      </c>
      <c r="F30">
        <v>0.99285599999999996</v>
      </c>
      <c r="G30">
        <v>0.91294699999999995</v>
      </c>
      <c r="H30">
        <v>0.87914300000000001</v>
      </c>
      <c r="I30">
        <v>0.94849899999999998</v>
      </c>
      <c r="J30">
        <v>0.74680400000000002</v>
      </c>
      <c r="K30">
        <v>0.87553499999999995</v>
      </c>
      <c r="L30">
        <v>0.82657099999999994</v>
      </c>
    </row>
    <row r="32" spans="1:12" x14ac:dyDescent="0.4">
      <c r="A32" t="s">
        <v>37</v>
      </c>
      <c r="B32">
        <v>0.25912600000000002</v>
      </c>
      <c r="C32">
        <v>0.321411</v>
      </c>
      <c r="D32">
        <v>0.56729099999999999</v>
      </c>
      <c r="E32">
        <v>0.47626099999999999</v>
      </c>
      <c r="F32">
        <v>0.40877400000000003</v>
      </c>
      <c r="G32">
        <v>0.28238799999999997</v>
      </c>
      <c r="H32">
        <v>0.56989000000000001</v>
      </c>
      <c r="I32">
        <v>0.42621700000000001</v>
      </c>
      <c r="J32">
        <v>0.556199</v>
      </c>
      <c r="K32">
        <v>0.34344400000000003</v>
      </c>
      <c r="L32">
        <v>0.46858899999999998</v>
      </c>
    </row>
    <row r="33" spans="1:12" x14ac:dyDescent="0.4">
      <c r="A33" t="s">
        <v>38</v>
      </c>
      <c r="B33">
        <v>5.9293999999999999E-2</v>
      </c>
      <c r="C33">
        <v>0.163827</v>
      </c>
      <c r="D33">
        <v>0.10334500000000001</v>
      </c>
      <c r="E33">
        <v>0.14265900000000001</v>
      </c>
      <c r="F33">
        <v>7.1290000000000006E-2</v>
      </c>
      <c r="G33">
        <v>0.286717</v>
      </c>
      <c r="H33">
        <v>0.17882500000000001</v>
      </c>
      <c r="I33">
        <v>0.147953</v>
      </c>
      <c r="J33">
        <v>0.23904900000000001</v>
      </c>
      <c r="K33">
        <v>0.114969</v>
      </c>
      <c r="L33">
        <v>0.188526</v>
      </c>
    </row>
    <row r="34" spans="1:12" x14ac:dyDescent="0.4">
      <c r="A34" t="s">
        <v>39</v>
      </c>
      <c r="B34">
        <v>0.20904500000000001</v>
      </c>
      <c r="C34">
        <v>9.2905000000000001E-2</v>
      </c>
      <c r="D34">
        <v>0.114526</v>
      </c>
      <c r="E34">
        <v>0.119501</v>
      </c>
      <c r="F34">
        <v>4.3163E-2</v>
      </c>
      <c r="G34">
        <v>0.14405799999999999</v>
      </c>
      <c r="H34">
        <v>8.9140999999999998E-2</v>
      </c>
      <c r="I34">
        <v>0.12478300000000001</v>
      </c>
      <c r="J34">
        <v>0.124167</v>
      </c>
      <c r="K34">
        <v>0.21842500000000001</v>
      </c>
      <c r="L34">
        <v>7.5830999999999996E-2</v>
      </c>
    </row>
    <row r="35" spans="1:12" x14ac:dyDescent="0.4">
      <c r="A35" t="s">
        <v>40</v>
      </c>
      <c r="B35">
        <v>0.13759299999999999</v>
      </c>
      <c r="C35">
        <v>7.6204999999999995E-2</v>
      </c>
      <c r="D35">
        <v>1.9539999999999998E-2</v>
      </c>
      <c r="E35">
        <v>6.2780000000000002E-2</v>
      </c>
      <c r="F35">
        <v>5.7210999999999998E-2</v>
      </c>
      <c r="G35">
        <v>0.1671</v>
      </c>
      <c r="H35">
        <v>7.7021999999999993E-2</v>
      </c>
      <c r="I35">
        <v>0.101919</v>
      </c>
      <c r="J35">
        <v>3.9610000000000001E-3</v>
      </c>
      <c r="K35">
        <v>0.15357599999999999</v>
      </c>
      <c r="L35">
        <v>6.4115000000000005E-2</v>
      </c>
    </row>
    <row r="36" spans="1:12" x14ac:dyDescent="0.4">
      <c r="A36" t="s">
        <v>41</v>
      </c>
      <c r="B36">
        <v>0.33494200000000002</v>
      </c>
      <c r="C36">
        <v>0.34565200000000001</v>
      </c>
      <c r="D36">
        <v>0.195299</v>
      </c>
      <c r="E36">
        <v>0.198799</v>
      </c>
      <c r="F36">
        <v>0.41956300000000002</v>
      </c>
      <c r="G36">
        <v>0.119737</v>
      </c>
      <c r="H36">
        <v>8.5122000000000003E-2</v>
      </c>
      <c r="I36">
        <v>0.199128</v>
      </c>
      <c r="J36">
        <v>7.6623999999999998E-2</v>
      </c>
      <c r="K36">
        <v>0.16958500000000001</v>
      </c>
      <c r="L36">
        <v>0.20293900000000001</v>
      </c>
    </row>
    <row r="38" spans="1:12" x14ac:dyDescent="0.4">
      <c r="A38" t="s">
        <v>42</v>
      </c>
      <c r="B38">
        <v>0.46318500000000001</v>
      </c>
      <c r="C38">
        <v>0.79907300000000003</v>
      </c>
      <c r="D38">
        <v>0.79640200000000005</v>
      </c>
      <c r="E38">
        <v>0.81861200000000001</v>
      </c>
      <c r="F38">
        <v>0.718746</v>
      </c>
      <c r="G38">
        <v>0.50448999999999999</v>
      </c>
      <c r="H38">
        <v>0.79105800000000004</v>
      </c>
      <c r="I38">
        <v>0.75602100000000005</v>
      </c>
      <c r="J38">
        <v>0.77790999999999999</v>
      </c>
      <c r="K38">
        <v>0.78956499999999996</v>
      </c>
      <c r="L38">
        <v>0.77918299999999996</v>
      </c>
    </row>
    <row r="39" spans="1:12" x14ac:dyDescent="0.4">
      <c r="A39" t="s">
        <v>43</v>
      </c>
      <c r="B39">
        <v>7.6669000000000001E-2</v>
      </c>
      <c r="C39">
        <v>8.5413000000000003E-2</v>
      </c>
      <c r="D39">
        <v>0.182619</v>
      </c>
      <c r="E39">
        <v>0.129972</v>
      </c>
      <c r="F39">
        <v>0.14827299999999999</v>
      </c>
      <c r="G39">
        <v>0.32003999999999999</v>
      </c>
      <c r="H39">
        <v>0.15998699999999999</v>
      </c>
      <c r="I39">
        <v>0.180003</v>
      </c>
      <c r="J39">
        <v>0.20086799999999999</v>
      </c>
      <c r="K39">
        <v>0.133663</v>
      </c>
      <c r="L39">
        <v>0.13964299999999999</v>
      </c>
    </row>
    <row r="40" spans="1:12" x14ac:dyDescent="0.4">
      <c r="A40" t="s">
        <v>44</v>
      </c>
      <c r="B40">
        <v>0.37136400000000003</v>
      </c>
      <c r="C40">
        <v>7.8490000000000001E-3</v>
      </c>
      <c r="D40">
        <v>1.5249E-2</v>
      </c>
      <c r="E40">
        <v>3.2173E-2</v>
      </c>
      <c r="F40">
        <v>0.12699299999999999</v>
      </c>
      <c r="G40">
        <v>0.137521</v>
      </c>
      <c r="H40">
        <v>3.3502999999999998E-2</v>
      </c>
      <c r="I40">
        <v>4.1114999999999999E-2</v>
      </c>
      <c r="J40">
        <v>7.4850000000000003E-3</v>
      </c>
      <c r="K40">
        <v>7.6134999999999994E-2</v>
      </c>
      <c r="L40">
        <v>5.7292000000000003E-2</v>
      </c>
    </row>
    <row r="41" spans="1:12" x14ac:dyDescent="0.4">
      <c r="A41" t="s">
        <v>45</v>
      </c>
      <c r="B41">
        <v>8.7995000000000004E-2</v>
      </c>
      <c r="C41">
        <v>6.1069999999999996E-3</v>
      </c>
      <c r="D41">
        <v>5.1440000000000001E-3</v>
      </c>
      <c r="E41">
        <v>8.3879999999999996E-3</v>
      </c>
      <c r="F41">
        <v>3.5599999999999998E-4</v>
      </c>
      <c r="G41">
        <v>3.5386000000000001E-2</v>
      </c>
      <c r="H41">
        <v>7.2969999999999997E-3</v>
      </c>
      <c r="I41">
        <v>1.3573999999999999E-2</v>
      </c>
      <c r="J41">
        <v>9.1699999999999995E-4</v>
      </c>
      <c r="K41">
        <v>5.7600000000000001E-4</v>
      </c>
      <c r="L41">
        <v>2.3576E-2</v>
      </c>
    </row>
    <row r="42" spans="1:12" x14ac:dyDescent="0.4">
      <c r="A42" t="s">
        <v>46</v>
      </c>
      <c r="B42">
        <v>7.8600000000000002E-4</v>
      </c>
      <c r="C42">
        <v>0.101558</v>
      </c>
      <c r="D42">
        <v>5.8600000000000004E-4</v>
      </c>
      <c r="E42">
        <v>1.0854000000000001E-2</v>
      </c>
      <c r="F42">
        <v>5.633E-3</v>
      </c>
      <c r="G42">
        <v>2.5630000000000002E-3</v>
      </c>
      <c r="H42">
        <v>8.1560000000000001E-3</v>
      </c>
      <c r="I42">
        <v>9.2870000000000001E-3</v>
      </c>
      <c r="J42">
        <v>1.2819000000000001E-2</v>
      </c>
      <c r="K42">
        <v>6.0000000000000002E-5</v>
      </c>
      <c r="L42">
        <v>3.0699999999999998E-4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宇廷 鄭</cp:lastModifiedBy>
  <dcterms:created xsi:type="dcterms:W3CDTF">2026-04-23T17:00:34Z</dcterms:created>
  <dcterms:modified xsi:type="dcterms:W3CDTF">2026-04-23T17:08:29Z</dcterms:modified>
</cp:coreProperties>
</file>