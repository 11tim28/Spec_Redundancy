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Texas\26S\Perf\project\pin_06int\"/>
    </mc:Choice>
  </mc:AlternateContent>
  <xr:revisionPtr revIDLastSave="0" documentId="13_ncr:1_{EE0C9AFC-CC7D-4D7C-BAE1-C0C442B5D3BC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J25" i="1"/>
  <c r="B25" i="1"/>
  <c r="C20" i="1"/>
  <c r="D20" i="1"/>
  <c r="E20" i="1"/>
  <c r="F20" i="1"/>
  <c r="G20" i="1"/>
  <c r="H20" i="1"/>
  <c r="I20" i="1"/>
  <c r="J20" i="1"/>
  <c r="B20" i="1"/>
  <c r="C15" i="1"/>
  <c r="D15" i="1"/>
  <c r="E15" i="1"/>
  <c r="F15" i="1"/>
  <c r="G15" i="1"/>
  <c r="H15" i="1"/>
  <c r="I15" i="1"/>
  <c r="J15" i="1"/>
  <c r="B15" i="1"/>
</calcChain>
</file>

<file path=xl/sharedStrings.xml><?xml version="1.0" encoding="utf-8"?>
<sst xmlns="http://schemas.openxmlformats.org/spreadsheetml/2006/main" count="36" uniqueCount="36">
  <si>
    <t xml:space="preserve">&lt;DynInsCount&gt; </t>
  </si>
  <si>
    <t xml:space="preserve">&lt;IntCount&gt; </t>
  </si>
  <si>
    <t xml:space="preserve">&lt;FPCount&gt; </t>
  </si>
  <si>
    <t xml:space="preserve">&lt;LdCount&gt; </t>
  </si>
  <si>
    <t xml:space="preserve">&lt;StCount&gt; </t>
  </si>
  <si>
    <t xml:space="preserve">&lt;BrCount&gt; </t>
  </si>
  <si>
    <t xml:space="preserve">&lt;BrTaken Percentage&gt; </t>
  </si>
  <si>
    <t xml:space="preserve">&lt;BrForwardTaken Percentage&gt; </t>
  </si>
  <si>
    <t xml:space="preserve">&lt;AvgBBSize&gt; </t>
  </si>
  <si>
    <t xml:space="preserve">&lt;RAWdep 0-2&gt; </t>
  </si>
  <si>
    <t xml:space="preserve">&lt;RAWdep 3-8&gt; </t>
  </si>
  <si>
    <t xml:space="preserve">&lt;RAWdep 9-32&gt; </t>
  </si>
  <si>
    <t xml:space="preserve">&lt;RAWdep greater than 32&gt; </t>
  </si>
  <si>
    <t xml:space="preserve">&lt;WAWdep 0-2&gt; </t>
  </si>
  <si>
    <t xml:space="preserve">&lt;WAWdep 3-8&gt; </t>
  </si>
  <si>
    <t xml:space="preserve">&lt;WAWdep 9-32&gt; </t>
  </si>
  <si>
    <t xml:space="preserve">&lt;WAWdep greater than 32&gt; </t>
  </si>
  <si>
    <t>&lt;WARdep 0-2&gt;</t>
  </si>
  <si>
    <t xml:space="preserve">&lt;WARdep 3-8&gt; </t>
  </si>
  <si>
    <t xml:space="preserve">&lt;WARdep 9-32&gt; </t>
  </si>
  <si>
    <t xml:space="preserve">&lt;WARdep greater than 32&gt; </t>
  </si>
  <si>
    <t xml:space="preserve">&lt;temporal density_byte 0-2&gt; </t>
  </si>
  <si>
    <t xml:space="preserve">&lt;temporal density_byte 3-8&gt; </t>
  </si>
  <si>
    <t xml:space="preserve">&lt;temporal density_byte 9-16&gt; </t>
  </si>
  <si>
    <t xml:space="preserve">&lt;temporal density_byte 17-32&gt; </t>
  </si>
  <si>
    <t xml:space="preserve">&lt;temporal density_byte greater than 32&gt; </t>
  </si>
  <si>
    <t xml:space="preserve">&lt;temporal density_cacheline 0-2&gt; </t>
  </si>
  <si>
    <t xml:space="preserve">&lt;temporal density_cacheline 3-8&gt; </t>
  </si>
  <si>
    <t xml:space="preserve">&lt;temporal density_cacheline 9-16&gt; </t>
  </si>
  <si>
    <t xml:space="preserve">&lt;temporal density_cacheline 17-32&gt; </t>
  </si>
  <si>
    <t xml:space="preserve">&lt;temporal density_cacheline greater than 32&gt; </t>
  </si>
  <si>
    <t xml:space="preserve">&lt;temporal density_page 0-2&gt; </t>
  </si>
  <si>
    <t xml:space="preserve">&lt;temporal density_page 3-8&gt; </t>
  </si>
  <si>
    <t xml:space="preserve">&lt;temporal density_page 9-16&gt; </t>
  </si>
  <si>
    <t xml:space="preserve">&lt;temporal density_page 17-32&gt; </t>
  </si>
  <si>
    <t>&lt;temporal density_page greater than 32&gt;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</si>
</sst>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Sheet1!$B$1:$J$1</c:f>
              <c:numCache>
                <c:formatCode>General</c:formatCode>
                <c:ptCount val="9"/>
                <c:pt idx="0">
                  <c:v>401</c:v>
                </c:pt>
                <c:pt idx="1">
                  <c:v>403</c:v>
                </c:pt>
                <c:pt idx="2">
                  <c:v>429</c:v>
                </c:pt>
                <c:pt idx="3">
                  <c:v>445</c:v>
                </c:pt>
                <c:pt idx="4">
                  <c:v>456</c:v>
                </c:pt>
                <c:pt idx="5">
                  <c:v>458</c:v>
                </c:pt>
                <c:pt idx="6">
                  <c:v>464</c:v>
                </c:pt>
                <c:pt idx="7">
                  <c:v>471</c:v>
                </c:pt>
                <c:pt idx="8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8-402C-8118-79354A7E363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Sheet1!$B$3:$J$3</c:f>
              <c:numCache>
                <c:formatCode>General</c:formatCode>
                <c:ptCount val="9"/>
                <c:pt idx="0">
                  <c:v>413062629</c:v>
                </c:pt>
                <c:pt idx="1">
                  <c:v>413062629</c:v>
                </c:pt>
                <c:pt idx="2">
                  <c:v>185100199</c:v>
                </c:pt>
                <c:pt idx="3">
                  <c:v>110436</c:v>
                </c:pt>
                <c:pt idx="4">
                  <c:v>222545756</c:v>
                </c:pt>
                <c:pt idx="5">
                  <c:v>991964190</c:v>
                </c:pt>
                <c:pt idx="6">
                  <c:v>1742262574</c:v>
                </c:pt>
                <c:pt idx="7">
                  <c:v>563093</c:v>
                </c:pt>
                <c:pt idx="8">
                  <c:v>439805232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8-402C-8118-79354A7E3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663520"/>
        <c:axId val="908628112"/>
      </c:barChart>
      <c:catAx>
        <c:axId val="701663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8628112"/>
        <c:crosses val="autoZero"/>
        <c:auto val="1"/>
        <c:lblAlgn val="ctr"/>
        <c:lblOffset val="100"/>
        <c:noMultiLvlLbl val="0"/>
      </c:catAx>
      <c:valAx>
        <c:axId val="90862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166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9</xdr:row>
      <xdr:rowOff>171450</xdr:rowOff>
    </xdr:from>
    <xdr:to>
      <xdr:col>18</xdr:col>
      <xdr:colOff>438150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911E5-73BD-C480-0509-40DD2B3EF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B3" activeCellId="1" sqref="B1:J1 B3:J3"/>
    </sheetView>
  </sheetViews>
  <sheetFormatPr defaultRowHeight="15.75" x14ac:dyDescent="0.25"/>
  <cols>
    <col min="1" max="1" width="43.5703125" bestFit="1" customWidth="1"/>
  </cols>
  <sheetData>
    <row r="1" spans="1:10" x14ac:dyDescent="0.25">
      <c r="B1">
        <v>401</v>
      </c>
      <c r="C1">
        <v>403</v>
      </c>
      <c r="D1">
        <v>429</v>
      </c>
      <c r="E1">
        <v>445</v>
      </c>
      <c r="F1">
        <v>456</v>
      </c>
      <c r="G1">
        <v>458</v>
      </c>
      <c r="H1">
        <v>464</v>
      </c>
      <c r="I1">
        <v>471</v>
      </c>
      <c r="J1">
        <v>473</v>
      </c>
    </row>
    <row r="2" spans="1:10" x14ac:dyDescent="0.25">
      <c r="A2" t="s">
        <v>0</v>
      </c>
      <c r="B2">
        <v>10200039346</v>
      </c>
      <c r="C2">
        <v>10200039346</v>
      </c>
      <c r="D2">
        <v>3168331053</v>
      </c>
      <c r="E2">
        <v>15938180</v>
      </c>
      <c r="F2">
        <v>14408711128</v>
      </c>
      <c r="G2">
        <v>17017210716</v>
      </c>
      <c r="H2">
        <v>86319432203</v>
      </c>
      <c r="I2">
        <v>5441786</v>
      </c>
      <c r="J2">
        <v>20406383978</v>
      </c>
    </row>
    <row r="3" spans="1:10" x14ac:dyDescent="0.25">
      <c r="A3" t="s">
        <v>1</v>
      </c>
      <c r="B3">
        <v>413062629</v>
      </c>
      <c r="C3">
        <v>413062629</v>
      </c>
      <c r="D3">
        <v>185100199</v>
      </c>
      <c r="E3">
        <v>110436</v>
      </c>
      <c r="F3">
        <v>222545756</v>
      </c>
      <c r="G3">
        <v>991964190</v>
      </c>
      <c r="H3">
        <v>1742262574</v>
      </c>
      <c r="I3">
        <v>563093</v>
      </c>
      <c r="J3">
        <v>439805232</v>
      </c>
    </row>
    <row r="4" spans="1:10" x14ac:dyDescent="0.25">
      <c r="A4" t="s">
        <v>2</v>
      </c>
      <c r="B4">
        <v>546533</v>
      </c>
      <c r="C4">
        <v>546533</v>
      </c>
      <c r="D4">
        <v>3036661</v>
      </c>
      <c r="E4">
        <v>2579</v>
      </c>
      <c r="F4">
        <v>368192069</v>
      </c>
      <c r="G4">
        <v>55968308</v>
      </c>
      <c r="H4">
        <v>304878842</v>
      </c>
      <c r="I4">
        <v>360</v>
      </c>
      <c r="J4">
        <v>65502907</v>
      </c>
    </row>
    <row r="5" spans="1:10" x14ac:dyDescent="0.25">
      <c r="A5" t="s">
        <v>3</v>
      </c>
      <c r="B5">
        <v>2567270684</v>
      </c>
      <c r="C5">
        <v>2567270684</v>
      </c>
      <c r="D5">
        <v>1167075781</v>
      </c>
      <c r="E5">
        <v>184247</v>
      </c>
      <c r="F5">
        <v>5346160757</v>
      </c>
      <c r="G5">
        <v>3711728508</v>
      </c>
      <c r="H5">
        <v>32207437804</v>
      </c>
      <c r="I5">
        <v>858844</v>
      </c>
      <c r="J5">
        <v>6664940006</v>
      </c>
    </row>
    <row r="6" spans="1:10" x14ac:dyDescent="0.25">
      <c r="A6" t="s">
        <v>4</v>
      </c>
      <c r="B6">
        <v>1308673454</v>
      </c>
      <c r="C6">
        <v>1308673454</v>
      </c>
      <c r="D6">
        <v>174938311</v>
      </c>
      <c r="E6">
        <v>11978575</v>
      </c>
      <c r="F6">
        <v>2110343981</v>
      </c>
      <c r="G6">
        <v>2194522584</v>
      </c>
      <c r="H6">
        <v>6361818140</v>
      </c>
      <c r="I6">
        <v>429723</v>
      </c>
      <c r="J6">
        <v>1479230331</v>
      </c>
    </row>
    <row r="7" spans="1:10" x14ac:dyDescent="0.25">
      <c r="A7" t="s">
        <v>5</v>
      </c>
      <c r="B7">
        <v>1556500244</v>
      </c>
      <c r="C7">
        <v>1556500244</v>
      </c>
      <c r="D7">
        <v>768640381</v>
      </c>
      <c r="E7">
        <v>1182010</v>
      </c>
      <c r="F7">
        <v>1077443875</v>
      </c>
      <c r="G7">
        <v>2823222194</v>
      </c>
      <c r="H7">
        <v>6972835749</v>
      </c>
      <c r="I7">
        <v>1091640</v>
      </c>
      <c r="J7">
        <v>3579642670</v>
      </c>
    </row>
    <row r="8" spans="1:10" x14ac:dyDescent="0.25">
      <c r="A8" t="s">
        <v>6</v>
      </c>
      <c r="B8">
        <v>0.54831700000000005</v>
      </c>
      <c r="C8">
        <v>0.54831700000000005</v>
      </c>
      <c r="D8">
        <v>0.50140700000000005</v>
      </c>
      <c r="E8">
        <v>0.90549900000000005</v>
      </c>
      <c r="F8">
        <v>0.58711100000000005</v>
      </c>
      <c r="G8">
        <v>0.55165299999999995</v>
      </c>
      <c r="H8">
        <v>0.78668700000000003</v>
      </c>
      <c r="I8">
        <v>0.45091500000000001</v>
      </c>
      <c r="J8">
        <v>0.57053799999999999</v>
      </c>
    </row>
    <row r="9" spans="1:10" x14ac:dyDescent="0.25">
      <c r="A9" t="s">
        <v>7</v>
      </c>
      <c r="B9">
        <v>0.132713</v>
      </c>
      <c r="C9">
        <v>0.132713</v>
      </c>
      <c r="D9">
        <v>0.205344</v>
      </c>
      <c r="E9">
        <v>2.4929900000000001E-2</v>
      </c>
      <c r="F9">
        <v>8.3684999999999996E-2</v>
      </c>
      <c r="G9">
        <v>0.27580300000000002</v>
      </c>
      <c r="H9">
        <v>0.42056700000000002</v>
      </c>
      <c r="I9">
        <v>0.16739499999999999</v>
      </c>
      <c r="J9">
        <v>0.36302499999999999</v>
      </c>
    </row>
    <row r="10" spans="1:10" x14ac:dyDescent="0.25">
      <c r="A10" t="s">
        <v>8</v>
      </c>
      <c r="B10">
        <v>6.5531899999999998</v>
      </c>
      <c r="C10">
        <v>6.5531899999999998</v>
      </c>
      <c r="D10">
        <v>4.1219900000000003</v>
      </c>
      <c r="E10">
        <v>13.484</v>
      </c>
      <c r="F10">
        <v>13.373100000000001</v>
      </c>
      <c r="G10">
        <v>6.0275800000000004</v>
      </c>
      <c r="H10">
        <v>12.3794</v>
      </c>
      <c r="I10">
        <v>4.9849600000000001</v>
      </c>
      <c r="J10">
        <v>5.7006800000000002</v>
      </c>
    </row>
    <row r="11" spans="1:10" x14ac:dyDescent="0.25">
      <c r="A11" t="s">
        <v>9</v>
      </c>
      <c r="B11">
        <v>4289506847</v>
      </c>
      <c r="C11">
        <v>4289506847</v>
      </c>
      <c r="D11">
        <v>2267153312</v>
      </c>
      <c r="E11">
        <v>23422229</v>
      </c>
      <c r="F11">
        <v>10074844896</v>
      </c>
      <c r="G11">
        <v>11696462728</v>
      </c>
      <c r="H11">
        <v>43168225479</v>
      </c>
      <c r="I11">
        <v>2611986</v>
      </c>
      <c r="J11">
        <v>12732677781</v>
      </c>
    </row>
    <row r="12" spans="1:10" x14ac:dyDescent="0.25">
      <c r="A12" t="s">
        <v>10</v>
      </c>
      <c r="B12">
        <v>4119450923</v>
      </c>
      <c r="C12">
        <v>4119450923</v>
      </c>
      <c r="D12">
        <v>1442370584</v>
      </c>
      <c r="E12">
        <v>3406440</v>
      </c>
      <c r="F12">
        <v>5928941384</v>
      </c>
      <c r="G12">
        <v>6874862363</v>
      </c>
      <c r="H12">
        <v>34747592937</v>
      </c>
      <c r="I12">
        <v>1795791</v>
      </c>
      <c r="J12">
        <v>7000600656</v>
      </c>
    </row>
    <row r="13" spans="1:10" x14ac:dyDescent="0.25">
      <c r="A13" t="s">
        <v>11</v>
      </c>
      <c r="B13">
        <v>1895865138</v>
      </c>
      <c r="C13">
        <v>1895865138</v>
      </c>
      <c r="D13">
        <v>697832441</v>
      </c>
      <c r="E13">
        <v>274887</v>
      </c>
      <c r="F13">
        <v>3076374206</v>
      </c>
      <c r="G13">
        <v>4129986296</v>
      </c>
      <c r="H13">
        <v>21249515691</v>
      </c>
      <c r="I13">
        <v>1446323</v>
      </c>
      <c r="J13">
        <v>4233676838</v>
      </c>
    </row>
    <row r="14" spans="1:10" x14ac:dyDescent="0.25">
      <c r="A14" t="s">
        <v>12</v>
      </c>
      <c r="B14">
        <v>5530192202</v>
      </c>
      <c r="C14">
        <v>5530192202</v>
      </c>
      <c r="D14">
        <v>663925321</v>
      </c>
      <c r="E14">
        <v>21215343</v>
      </c>
      <c r="F14">
        <v>8056706026</v>
      </c>
      <c r="G14">
        <v>5839330015</v>
      </c>
      <c r="H14">
        <v>37497116060</v>
      </c>
      <c r="I14">
        <v>1959204</v>
      </c>
      <c r="J14">
        <v>6991867053</v>
      </c>
    </row>
    <row r="15" spans="1:10" x14ac:dyDescent="0.25">
      <c r="B15">
        <f>SUM(B11:B12)/SUM(B11:B14)</f>
        <v>0.53103566441749983</v>
      </c>
      <c r="C15">
        <f t="shared" ref="C15:J15" si="0">SUM(C11:C12)/SUM(C11:C14)</f>
        <v>0.53103566441749983</v>
      </c>
      <c r="D15">
        <f t="shared" si="0"/>
        <v>0.73147660614515209</v>
      </c>
      <c r="E15">
        <f t="shared" si="0"/>
        <v>0.55524172850047759</v>
      </c>
      <c r="F15">
        <f t="shared" si="0"/>
        <v>0.58974333948700675</v>
      </c>
      <c r="G15">
        <f t="shared" si="0"/>
        <v>0.65069753792213669</v>
      </c>
      <c r="H15">
        <f t="shared" si="0"/>
        <v>0.57013333450986525</v>
      </c>
      <c r="I15">
        <f t="shared" si="0"/>
        <v>0.56413739949194353</v>
      </c>
      <c r="J15">
        <f t="shared" si="0"/>
        <v>0.63740404037115739</v>
      </c>
    </row>
    <row r="16" spans="1:10" x14ac:dyDescent="0.25">
      <c r="A16" t="s">
        <v>13</v>
      </c>
      <c r="B16">
        <v>2820025169</v>
      </c>
      <c r="C16">
        <v>2820025169</v>
      </c>
      <c r="D16">
        <v>1230992788</v>
      </c>
      <c r="E16">
        <v>21445094</v>
      </c>
      <c r="F16">
        <v>5214771008</v>
      </c>
      <c r="G16">
        <v>6936768626</v>
      </c>
      <c r="H16">
        <v>26296708172</v>
      </c>
      <c r="I16">
        <v>1922107</v>
      </c>
      <c r="J16">
        <v>5573025154</v>
      </c>
    </row>
    <row r="17" spans="1:10" x14ac:dyDescent="0.25">
      <c r="A17" t="s">
        <v>14</v>
      </c>
      <c r="B17">
        <v>5244303934</v>
      </c>
      <c r="C17">
        <v>5244303934</v>
      </c>
      <c r="D17">
        <v>1475114015</v>
      </c>
      <c r="E17">
        <v>3405720</v>
      </c>
      <c r="F17">
        <v>6976658233</v>
      </c>
      <c r="G17">
        <v>6678561144</v>
      </c>
      <c r="H17">
        <v>50833441663</v>
      </c>
      <c r="I17">
        <v>2256589</v>
      </c>
      <c r="J17">
        <v>9121951098</v>
      </c>
    </row>
    <row r="18" spans="1:10" x14ac:dyDescent="0.25">
      <c r="A18" t="s">
        <v>15</v>
      </c>
      <c r="B18">
        <v>2217155623</v>
      </c>
      <c r="C18">
        <v>2217155623</v>
      </c>
      <c r="D18">
        <v>772995487</v>
      </c>
      <c r="E18">
        <v>232940</v>
      </c>
      <c r="F18">
        <v>1645343936</v>
      </c>
      <c r="G18">
        <v>3311212469</v>
      </c>
      <c r="H18">
        <v>17916417162</v>
      </c>
      <c r="I18">
        <v>1352861</v>
      </c>
      <c r="J18">
        <v>4867902637</v>
      </c>
    </row>
    <row r="19" spans="1:10" x14ac:dyDescent="0.25">
      <c r="A19" t="s">
        <v>16</v>
      </c>
      <c r="B19">
        <v>712453414</v>
      </c>
      <c r="C19">
        <v>712453414</v>
      </c>
      <c r="D19">
        <v>142969794</v>
      </c>
      <c r="E19">
        <v>133833</v>
      </c>
      <c r="F19">
        <v>1553342328</v>
      </c>
      <c r="G19">
        <v>3060285182</v>
      </c>
      <c r="H19">
        <v>10937642241</v>
      </c>
      <c r="I19">
        <v>934298</v>
      </c>
      <c r="J19">
        <v>3128075784</v>
      </c>
    </row>
    <row r="20" spans="1:10" x14ac:dyDescent="0.25">
      <c r="B20">
        <f>SUM(B16:B17)/SUM(B16:B19)</f>
        <v>0.73352505720029459</v>
      </c>
      <c r="C20">
        <f t="shared" ref="C20:J20" si="1">SUM(C16:C17)/SUM(C16:C19)</f>
        <v>0.73352505720029459</v>
      </c>
      <c r="D20">
        <f t="shared" si="1"/>
        <v>0.74711566756328529</v>
      </c>
      <c r="E20">
        <f t="shared" si="1"/>
        <v>0.98545566631732051</v>
      </c>
      <c r="F20">
        <f t="shared" si="1"/>
        <v>0.79215969737453895</v>
      </c>
      <c r="G20">
        <f t="shared" si="1"/>
        <v>0.68121515652326503</v>
      </c>
      <c r="H20">
        <f t="shared" si="1"/>
        <v>0.7277513356899723</v>
      </c>
      <c r="I20">
        <f t="shared" si="1"/>
        <v>0.64627122012479399</v>
      </c>
      <c r="J20">
        <f t="shared" si="1"/>
        <v>0.64761383836730213</v>
      </c>
    </row>
    <row r="21" spans="1:10" x14ac:dyDescent="0.25">
      <c r="A21" t="s">
        <v>17</v>
      </c>
      <c r="B21">
        <v>5248952109</v>
      </c>
      <c r="C21">
        <v>5248952109</v>
      </c>
      <c r="D21">
        <v>2277431152</v>
      </c>
      <c r="E21">
        <v>23634134</v>
      </c>
      <c r="F21">
        <v>8799905426</v>
      </c>
      <c r="G21">
        <v>11725307754</v>
      </c>
      <c r="H21">
        <v>53868357183</v>
      </c>
      <c r="I21">
        <v>3709936</v>
      </c>
      <c r="J21">
        <v>11485267095</v>
      </c>
    </row>
    <row r="22" spans="1:10" x14ac:dyDescent="0.25">
      <c r="A22" t="s">
        <v>18</v>
      </c>
      <c r="B22">
        <v>2293120314</v>
      </c>
      <c r="C22">
        <v>2293120314</v>
      </c>
      <c r="D22">
        <v>830967667</v>
      </c>
      <c r="E22">
        <v>1262865</v>
      </c>
      <c r="F22">
        <v>4899024321</v>
      </c>
      <c r="G22">
        <v>3111451328</v>
      </c>
      <c r="H22">
        <v>18953389609</v>
      </c>
      <c r="I22">
        <v>1222512</v>
      </c>
      <c r="J22">
        <v>5461256144</v>
      </c>
    </row>
    <row r="23" spans="1:10" x14ac:dyDescent="0.25">
      <c r="A23" t="s">
        <v>19</v>
      </c>
      <c r="B23">
        <v>1655258546</v>
      </c>
      <c r="C23">
        <v>1655258546</v>
      </c>
      <c r="D23">
        <v>397338023</v>
      </c>
      <c r="E23">
        <v>213643</v>
      </c>
      <c r="F23">
        <v>934448340</v>
      </c>
      <c r="G23">
        <v>2895212049</v>
      </c>
      <c r="H23">
        <v>13879674153</v>
      </c>
      <c r="I23">
        <v>962698</v>
      </c>
      <c r="J23">
        <v>3909826525</v>
      </c>
    </row>
    <row r="24" spans="1:10" x14ac:dyDescent="0.25">
      <c r="A24" t="s">
        <v>20</v>
      </c>
      <c r="B24">
        <v>1796607192</v>
      </c>
      <c r="C24">
        <v>1796607192</v>
      </c>
      <c r="D24">
        <v>116216616</v>
      </c>
      <c r="E24">
        <v>106964</v>
      </c>
      <c r="F24">
        <v>756737438</v>
      </c>
      <c r="G24">
        <v>2254856308</v>
      </c>
      <c r="H24">
        <v>19282788315</v>
      </c>
      <c r="I24">
        <v>570727</v>
      </c>
      <c r="J24">
        <v>1834604927</v>
      </c>
    </row>
    <row r="25" spans="1:10" x14ac:dyDescent="0.25">
      <c r="B25">
        <f>SUM(B21:B22)/SUM(B21:B24)</f>
        <v>0.68602099743973632</v>
      </c>
      <c r="C25">
        <f t="shared" ref="C25:J25" si="2">SUM(C21:C22)/SUM(C21:C24)</f>
        <v>0.68602099743973632</v>
      </c>
      <c r="D25">
        <f t="shared" si="2"/>
        <v>0.85821059134106636</v>
      </c>
      <c r="E25">
        <f t="shared" si="2"/>
        <v>0.98728638237904109</v>
      </c>
      <c r="F25">
        <f t="shared" si="2"/>
        <v>0.89011221031753751</v>
      </c>
      <c r="G25">
        <f t="shared" si="2"/>
        <v>0.7423268713997726</v>
      </c>
      <c r="H25">
        <f t="shared" si="2"/>
        <v>0.68709996800895135</v>
      </c>
      <c r="I25">
        <f t="shared" si="2"/>
        <v>0.76284331597604838</v>
      </c>
      <c r="J25">
        <f t="shared" si="2"/>
        <v>0.74684046880237986</v>
      </c>
    </row>
    <row r="26" spans="1:10" x14ac:dyDescent="0.25">
      <c r="A26" t="s">
        <v>21</v>
      </c>
      <c r="B26">
        <v>6.9282099999999998E-3</v>
      </c>
      <c r="C26">
        <v>6.9282099999999998E-3</v>
      </c>
      <c r="D26" s="1">
        <v>2.9605600000000001E-7</v>
      </c>
      <c r="E26">
        <v>0.62655899999999998</v>
      </c>
      <c r="F26" s="1">
        <v>6.6513299999999999E-5</v>
      </c>
      <c r="G26">
        <v>5.2292100000000001E-2</v>
      </c>
      <c r="H26">
        <v>2.0930699999999999E-4</v>
      </c>
      <c r="I26">
        <v>1.09888E-2</v>
      </c>
      <c r="J26">
        <v>4.0688699999999998E-4</v>
      </c>
    </row>
    <row r="27" spans="1:10" x14ac:dyDescent="0.25">
      <c r="A27" t="s">
        <v>22</v>
      </c>
      <c r="B27">
        <v>0.21396599999999999</v>
      </c>
      <c r="C27">
        <v>0.21396599999999999</v>
      </c>
      <c r="D27">
        <v>0.12127</v>
      </c>
      <c r="E27">
        <v>0.310471</v>
      </c>
      <c r="F27">
        <v>0.12578900000000001</v>
      </c>
      <c r="G27">
        <v>0.101109</v>
      </c>
      <c r="H27">
        <v>0.166579</v>
      </c>
      <c r="I27">
        <v>1.06386E-2</v>
      </c>
      <c r="J27">
        <v>3.7170599999999998E-2</v>
      </c>
    </row>
    <row r="28" spans="1:10" x14ac:dyDescent="0.25">
      <c r="A28" t="s">
        <v>23</v>
      </c>
      <c r="B28">
        <v>0.123795</v>
      </c>
      <c r="C28">
        <v>0.123795</v>
      </c>
      <c r="D28">
        <v>0.48567100000000002</v>
      </c>
      <c r="E28">
        <v>2.29263E-2</v>
      </c>
      <c r="F28" s="1">
        <v>1.72351E-5</v>
      </c>
      <c r="G28">
        <v>6.9948099999999999E-2</v>
      </c>
      <c r="H28">
        <v>1.24762E-2</v>
      </c>
      <c r="I28">
        <v>0.13186200000000001</v>
      </c>
      <c r="J28">
        <v>6.3925099999999999E-2</v>
      </c>
    </row>
    <row r="29" spans="1:10" x14ac:dyDescent="0.25">
      <c r="A29" t="s">
        <v>24</v>
      </c>
      <c r="B29">
        <v>0.13066900000000001</v>
      </c>
      <c r="C29">
        <v>0.13066900000000001</v>
      </c>
      <c r="D29">
        <v>0.21687600000000001</v>
      </c>
      <c r="E29">
        <v>4.8863800000000001E-3</v>
      </c>
      <c r="F29" s="1">
        <v>3.7894500000000002E-6</v>
      </c>
      <c r="G29">
        <v>0.114861</v>
      </c>
      <c r="H29">
        <v>9.9957799999999999E-2</v>
      </c>
      <c r="I29">
        <v>3.5778699999999997E-2</v>
      </c>
      <c r="J29">
        <v>0.10463500000000001</v>
      </c>
    </row>
    <row r="30" spans="1:10" x14ac:dyDescent="0.25">
      <c r="A30" t="s">
        <v>25</v>
      </c>
      <c r="B30">
        <v>0.52464100000000002</v>
      </c>
      <c r="C30">
        <v>0.52464100000000002</v>
      </c>
      <c r="D30">
        <v>0.17618300000000001</v>
      </c>
      <c r="E30">
        <v>3.5156699999999999E-2</v>
      </c>
      <c r="F30">
        <v>0.87412400000000001</v>
      </c>
      <c r="G30">
        <v>0.66178999999999999</v>
      </c>
      <c r="H30">
        <v>0.72077800000000003</v>
      </c>
      <c r="I30">
        <v>0.81073200000000001</v>
      </c>
      <c r="J30">
        <v>0.79386199999999996</v>
      </c>
    </row>
    <row r="32" spans="1:10" x14ac:dyDescent="0.25">
      <c r="A32" t="s">
        <v>26</v>
      </c>
      <c r="B32">
        <v>0.89417999999999997</v>
      </c>
      <c r="C32">
        <v>0.89417999999999997</v>
      </c>
      <c r="D32">
        <v>0.916466</v>
      </c>
      <c r="E32">
        <v>0.99293299999999995</v>
      </c>
      <c r="F32">
        <v>0.87764500000000001</v>
      </c>
      <c r="G32">
        <v>0.86324100000000004</v>
      </c>
      <c r="H32">
        <v>0.90165899999999999</v>
      </c>
      <c r="I32">
        <v>0.85451500000000002</v>
      </c>
      <c r="J32">
        <v>0.829152</v>
      </c>
    </row>
    <row r="33" spans="1:10" x14ac:dyDescent="0.25">
      <c r="A33" t="s">
        <v>27</v>
      </c>
      <c r="B33">
        <v>4.4936400000000001E-2</v>
      </c>
      <c r="C33">
        <v>4.4936400000000001E-2</v>
      </c>
      <c r="D33">
        <v>6.9101800000000005E-2</v>
      </c>
      <c r="E33">
        <v>3.7554400000000001E-3</v>
      </c>
      <c r="F33">
        <v>7.2948100000000002E-2</v>
      </c>
      <c r="G33">
        <v>3.3046199999999998E-2</v>
      </c>
      <c r="H33">
        <v>7.0073599999999998E-3</v>
      </c>
      <c r="I33">
        <v>7.4186799999999997E-2</v>
      </c>
      <c r="J33">
        <v>6.4352999999999994E-2</v>
      </c>
    </row>
    <row r="34" spans="1:10" x14ac:dyDescent="0.25">
      <c r="A34" t="s">
        <v>28</v>
      </c>
      <c r="B34">
        <v>2.0630699999999998E-2</v>
      </c>
      <c r="C34">
        <v>2.0630699999999998E-2</v>
      </c>
      <c r="D34">
        <v>3.15803E-3</v>
      </c>
      <c r="E34">
        <v>3.0318900000000002E-3</v>
      </c>
      <c r="F34">
        <v>2.5037500000000001E-2</v>
      </c>
      <c r="G34">
        <v>1.9183499999999999E-2</v>
      </c>
      <c r="H34">
        <v>5.1464799999999998E-2</v>
      </c>
      <c r="I34">
        <v>5.0616700000000001E-2</v>
      </c>
      <c r="J34">
        <v>4.9711199999999997E-2</v>
      </c>
    </row>
    <row r="35" spans="1:10" x14ac:dyDescent="0.25">
      <c r="A35" t="s">
        <v>29</v>
      </c>
      <c r="B35">
        <v>1.32178E-2</v>
      </c>
      <c r="C35">
        <v>1.32178E-2</v>
      </c>
      <c r="D35">
        <v>5.1031899999999996E-4</v>
      </c>
      <c r="E35" s="1">
        <v>7.0592200000000005E-5</v>
      </c>
      <c r="F35">
        <v>2.3919200000000002E-2</v>
      </c>
      <c r="G35">
        <v>1.6948999999999999E-2</v>
      </c>
      <c r="H35">
        <v>1.28299E-2</v>
      </c>
      <c r="I35">
        <v>1.3261200000000001E-2</v>
      </c>
      <c r="J35">
        <v>5.63238E-2</v>
      </c>
    </row>
    <row r="36" spans="1:10" x14ac:dyDescent="0.25">
      <c r="A36" t="s">
        <v>30</v>
      </c>
      <c r="B36">
        <v>2.7035500000000001E-2</v>
      </c>
      <c r="C36">
        <v>2.7035500000000001E-2</v>
      </c>
      <c r="D36">
        <v>1.0763999999999999E-2</v>
      </c>
      <c r="E36">
        <v>2.0870200000000001E-4</v>
      </c>
      <c r="F36">
        <v>4.5017599999999999E-4</v>
      </c>
      <c r="G36">
        <v>6.7580600000000005E-2</v>
      </c>
      <c r="H36">
        <v>2.70385E-2</v>
      </c>
      <c r="I36">
        <v>7.4206100000000002E-3</v>
      </c>
      <c r="J36">
        <v>4.6019300000000002E-4</v>
      </c>
    </row>
    <row r="38" spans="1:10" x14ac:dyDescent="0.25">
      <c r="A38" t="s">
        <v>31</v>
      </c>
      <c r="B38">
        <v>0.99807000000000001</v>
      </c>
      <c r="C38">
        <v>0.99807000000000001</v>
      </c>
      <c r="D38">
        <v>0.99887999999999999</v>
      </c>
      <c r="E38">
        <v>0.99994400000000006</v>
      </c>
      <c r="F38">
        <v>0.99668999999999996</v>
      </c>
      <c r="G38">
        <v>0.99529800000000002</v>
      </c>
      <c r="H38">
        <v>0.99910500000000002</v>
      </c>
      <c r="I38">
        <v>0.99577899999999997</v>
      </c>
      <c r="J38">
        <v>0.999946</v>
      </c>
    </row>
    <row r="39" spans="1:10" x14ac:dyDescent="0.25">
      <c r="A39" t="s">
        <v>32</v>
      </c>
      <c r="B39">
        <v>1.92994E-3</v>
      </c>
      <c r="C39">
        <v>1.92994E-3</v>
      </c>
      <c r="D39">
        <v>6.7973100000000004E-4</v>
      </c>
      <c r="E39" s="1">
        <v>3.4885000000000002E-5</v>
      </c>
      <c r="F39">
        <v>3.2838199999999998E-3</v>
      </c>
      <c r="G39">
        <v>3.1817899999999999E-3</v>
      </c>
      <c r="H39">
        <v>7.3312099999999999E-4</v>
      </c>
      <c r="I39">
        <v>3.2550999999999999E-3</v>
      </c>
      <c r="J39" s="1">
        <v>5.0340200000000003E-5</v>
      </c>
    </row>
    <row r="40" spans="1:10" x14ac:dyDescent="0.25">
      <c r="A40" t="s">
        <v>33</v>
      </c>
      <c r="B40" s="1">
        <v>7.8823200000000001E-8</v>
      </c>
      <c r="C40" s="1">
        <v>7.8823200000000001E-8</v>
      </c>
      <c r="D40">
        <v>4.4017699999999998E-4</v>
      </c>
      <c r="E40" s="1">
        <v>1.6313100000000001E-5</v>
      </c>
      <c r="F40" s="1">
        <v>2.5988700000000001E-5</v>
      </c>
      <c r="G40">
        <v>1.5195499999999999E-3</v>
      </c>
      <c r="H40">
        <v>1.4188499999999999E-4</v>
      </c>
      <c r="I40">
        <v>9.2840000000000002E-4</v>
      </c>
      <c r="J40" s="1">
        <v>3.3592899999999999E-6</v>
      </c>
    </row>
    <row r="41" spans="1:10" x14ac:dyDescent="0.25">
      <c r="A41" t="s">
        <v>34</v>
      </c>
      <c r="B41" s="1">
        <v>1.6176400000000001E-8</v>
      </c>
      <c r="C41" s="1">
        <v>1.6176400000000001E-8</v>
      </c>
      <c r="D41" s="1">
        <v>3.5476100000000001E-7</v>
      </c>
      <c r="E41" s="1">
        <v>3.6390799999999999E-6</v>
      </c>
      <c r="F41" s="1">
        <v>2.50543E-8</v>
      </c>
      <c r="G41" s="1">
        <v>1.07462E-6</v>
      </c>
      <c r="H41" s="1">
        <v>1.9038E-5</v>
      </c>
      <c r="I41" s="1">
        <v>2.2971100000000001E-5</v>
      </c>
      <c r="J41" s="1">
        <v>6.6155799999999996E-9</v>
      </c>
    </row>
    <row r="42" spans="1:10" x14ac:dyDescent="0.25">
      <c r="A42" t="s">
        <v>35</v>
      </c>
      <c r="B42" s="1">
        <v>1.7646999999999999E-9</v>
      </c>
      <c r="C42" s="1">
        <v>1.7646999999999999E-9</v>
      </c>
      <c r="D42" s="1">
        <v>9.15308E-9</v>
      </c>
      <c r="E42" s="1">
        <v>1.63131E-6</v>
      </c>
      <c r="F42" s="1">
        <v>9.1611200000000003E-9</v>
      </c>
      <c r="G42" s="1">
        <v>2.9499499999999999E-8</v>
      </c>
      <c r="H42" s="1">
        <v>1.1972500000000001E-6</v>
      </c>
      <c r="I42" s="1">
        <v>1.45177E-5</v>
      </c>
      <c r="J42" s="1">
        <v>2.9892600000000001E-9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2026-04-18T19:06:29Z</dcterms:modified>
</cp:coreProperties>
</file>