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Texas\26S\Perf\project\pin_06fp\"/>
    </mc:Choice>
  </mc:AlternateContent>
  <xr:revisionPtr revIDLastSave="0" documentId="13_ncr:1_{B78B69DC-1FE9-440B-B9AE-0B5131C0BA0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D25" i="1"/>
  <c r="E25" i="1"/>
  <c r="F25" i="1"/>
  <c r="G25" i="1"/>
  <c r="H25" i="1"/>
  <c r="I25" i="1"/>
  <c r="J25" i="1"/>
  <c r="K25" i="1"/>
  <c r="L25" i="1"/>
  <c r="M25" i="1"/>
  <c r="B25" i="1"/>
  <c r="C20" i="1"/>
  <c r="D20" i="1"/>
  <c r="E20" i="1"/>
  <c r="F20" i="1"/>
  <c r="G20" i="1"/>
  <c r="H20" i="1"/>
  <c r="I20" i="1"/>
  <c r="J20" i="1"/>
  <c r="K20" i="1"/>
  <c r="L20" i="1"/>
  <c r="M20" i="1"/>
  <c r="B20" i="1"/>
  <c r="C15" i="1"/>
  <c r="D15" i="1"/>
  <c r="E15" i="1"/>
  <c r="F15" i="1"/>
  <c r="G15" i="1"/>
  <c r="H15" i="1"/>
  <c r="I15" i="1"/>
  <c r="J15" i="1"/>
  <c r="K15" i="1"/>
  <c r="L15" i="1"/>
  <c r="M15" i="1"/>
  <c r="B15" i="1"/>
</calcChain>
</file>

<file path=xl/sharedStrings.xml><?xml version="1.0" encoding="utf-8"?>
<sst xmlns="http://schemas.openxmlformats.org/spreadsheetml/2006/main" count="48" uniqueCount="48">
  <si>
    <t>410</t>
  </si>
  <si>
    <t>434</t>
  </si>
  <si>
    <t>435</t>
  </si>
  <si>
    <t>436</t>
  </si>
  <si>
    <t>444</t>
  </si>
  <si>
    <t>453</t>
  </si>
  <si>
    <t>454</t>
  </si>
  <si>
    <t>459</t>
  </si>
  <si>
    <t>465</t>
  </si>
  <si>
    <t>470</t>
  </si>
  <si>
    <t>481</t>
  </si>
  <si>
    <t>482</t>
  </si>
  <si>
    <t xml:space="preserve">&lt;DynInsCount&gt; </t>
  </si>
  <si>
    <t xml:space="preserve">&lt;IntCount&gt; </t>
  </si>
  <si>
    <t xml:space="preserve">&lt;FPCount&gt; </t>
  </si>
  <si>
    <t xml:space="preserve">&lt;LdCount&gt; </t>
  </si>
  <si>
    <t xml:space="preserve">&lt;StCount&gt; </t>
  </si>
  <si>
    <t xml:space="preserve">&lt;BrCount&gt; </t>
  </si>
  <si>
    <t xml:space="preserve">&lt;BrTaken Percentage&gt; </t>
  </si>
  <si>
    <t xml:space="preserve">&lt;BrForwardTaken Percentage&gt; </t>
  </si>
  <si>
    <t xml:space="preserve">&lt;AvgBBSize&gt; </t>
  </si>
  <si>
    <t xml:space="preserve">&lt;RAWdep 0-2&gt; </t>
  </si>
  <si>
    <t xml:space="preserve">&lt;RAWdep 3-8&gt; </t>
  </si>
  <si>
    <t xml:space="preserve">&lt;RAWdep 9-32&gt; </t>
  </si>
  <si>
    <t xml:space="preserve">&lt;RAWdep greater than 32&gt; </t>
  </si>
  <si>
    <t xml:space="preserve">&lt;WAWdep 0-2&gt; </t>
  </si>
  <si>
    <t xml:space="preserve">&lt;WAWdep 3-8&gt; </t>
  </si>
  <si>
    <t xml:space="preserve">&lt;WAWdep 9-32&gt; </t>
  </si>
  <si>
    <t xml:space="preserve">&lt;WAWdep greater than 32&gt; </t>
  </si>
  <si>
    <t>&lt;WARdep 0-2&gt;</t>
  </si>
  <si>
    <t xml:space="preserve">&lt;WARdep 3-8&gt; </t>
  </si>
  <si>
    <t xml:space="preserve">&lt;WARdep 9-32&gt; </t>
  </si>
  <si>
    <t xml:space="preserve">&lt;WARdep greater than 32&gt; </t>
  </si>
  <si>
    <t xml:space="preserve">&lt;temporal density_byte 0-2&gt; </t>
  </si>
  <si>
    <t xml:space="preserve">&lt;temporal density_byte 3-8&gt; </t>
  </si>
  <si>
    <t xml:space="preserve">&lt;temporal density_byte 9-16&gt; </t>
  </si>
  <si>
    <t xml:space="preserve">&lt;temporal density_byte 17-32&gt; </t>
  </si>
  <si>
    <t xml:space="preserve">&lt;temporal density_byte greater than 32&gt; </t>
  </si>
  <si>
    <t xml:space="preserve">&lt;temporal density_cacheline 0-2&gt; </t>
  </si>
  <si>
    <t xml:space="preserve">&lt;temporal density_cacheline 3-8&gt; </t>
  </si>
  <si>
    <t xml:space="preserve">&lt;temporal density_cacheline 9-16&gt; </t>
  </si>
  <si>
    <t xml:space="preserve">&lt;temporal density_cacheline 17-32&gt; </t>
  </si>
  <si>
    <t xml:space="preserve">&lt;temporal density_cacheline greater than 32&gt; </t>
  </si>
  <si>
    <t xml:space="preserve">&lt;temporal density_page 0-2&gt; </t>
  </si>
  <si>
    <t xml:space="preserve">&lt;temporal density_page 3-8&gt; </t>
  </si>
  <si>
    <t xml:space="preserve">&lt;temporal density_page 9-16&gt; </t>
  </si>
  <si>
    <t xml:space="preserve">&lt;temporal density_page 17-32&gt; </t>
  </si>
  <si>
    <t>&lt;temporal density_page greater than 32&gt;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</si>
</sst>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B30" sqref="B30:M30"/>
    </sheetView>
  </sheetViews>
  <sheetFormatPr defaultRowHeight="15.45" x14ac:dyDescent="0.4"/>
  <cols>
    <col min="1" max="1" width="41.58203125" bestFit="1" customWidth="1"/>
  </cols>
  <sheetData>
    <row r="1" spans="1:1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4">
      <c r="A2" t="s">
        <v>12</v>
      </c>
      <c r="B2">
        <v>16573612830</v>
      </c>
      <c r="C2">
        <v>42589854008</v>
      </c>
      <c r="D2">
        <v>4480297791</v>
      </c>
      <c r="E2">
        <v>8926539106</v>
      </c>
      <c r="F2">
        <v>163736</v>
      </c>
      <c r="G2">
        <v>2332566153</v>
      </c>
      <c r="H2">
        <v>203740</v>
      </c>
      <c r="I2">
        <v>5567800484</v>
      </c>
      <c r="J2">
        <v>3368116358</v>
      </c>
      <c r="K2">
        <v>6462118800</v>
      </c>
      <c r="L2">
        <v>343371797</v>
      </c>
      <c r="M2">
        <v>6822555874</v>
      </c>
    </row>
    <row r="3" spans="1:13" x14ac:dyDescent="0.4">
      <c r="A3" t="s">
        <v>13</v>
      </c>
      <c r="B3">
        <v>137163542</v>
      </c>
      <c r="C3">
        <v>34990341</v>
      </c>
      <c r="D3">
        <v>86095660</v>
      </c>
      <c r="E3">
        <v>7688184</v>
      </c>
      <c r="F3">
        <v>22956</v>
      </c>
      <c r="G3">
        <v>195998136</v>
      </c>
      <c r="H3">
        <v>28122</v>
      </c>
      <c r="I3">
        <v>153453171</v>
      </c>
      <c r="J3">
        <v>128225369</v>
      </c>
      <c r="K3">
        <v>55624311</v>
      </c>
      <c r="L3">
        <v>21679237</v>
      </c>
      <c r="M3">
        <v>671741883</v>
      </c>
    </row>
    <row r="4" spans="1:13" x14ac:dyDescent="0.4">
      <c r="A4" t="s">
        <v>14</v>
      </c>
      <c r="B4">
        <v>7140827346</v>
      </c>
      <c r="C4">
        <v>18522977365</v>
      </c>
      <c r="D4">
        <v>1516253688</v>
      </c>
      <c r="E4">
        <v>4506812215</v>
      </c>
      <c r="F4">
        <v>143</v>
      </c>
      <c r="G4">
        <v>424378363</v>
      </c>
      <c r="H4">
        <v>177</v>
      </c>
      <c r="I4">
        <v>1409701154</v>
      </c>
      <c r="J4">
        <v>566918037</v>
      </c>
      <c r="K4">
        <v>3606389325</v>
      </c>
      <c r="L4">
        <v>5468477</v>
      </c>
      <c r="M4">
        <v>1121623513</v>
      </c>
    </row>
    <row r="5" spans="1:13" x14ac:dyDescent="0.4">
      <c r="A5" t="s">
        <v>15</v>
      </c>
      <c r="B5">
        <v>8190497667</v>
      </c>
      <c r="C5">
        <v>10701771592</v>
      </c>
      <c r="D5">
        <v>1127294108</v>
      </c>
      <c r="E5">
        <v>3619529136</v>
      </c>
      <c r="F5">
        <v>33869</v>
      </c>
      <c r="G5">
        <v>761976628</v>
      </c>
      <c r="H5">
        <v>43416</v>
      </c>
      <c r="I5">
        <v>1296670008</v>
      </c>
      <c r="J5">
        <v>1134024404</v>
      </c>
      <c r="K5">
        <v>1374066569</v>
      </c>
      <c r="L5">
        <v>62418366</v>
      </c>
      <c r="M5">
        <v>1668422217</v>
      </c>
    </row>
    <row r="6" spans="1:13" x14ac:dyDescent="0.4">
      <c r="A6" t="s">
        <v>16</v>
      </c>
      <c r="B6">
        <v>868819623</v>
      </c>
      <c r="C6">
        <v>3538552122</v>
      </c>
      <c r="D6">
        <v>504525647</v>
      </c>
      <c r="E6">
        <v>962488917</v>
      </c>
      <c r="F6">
        <v>4008</v>
      </c>
      <c r="G6">
        <v>318380478</v>
      </c>
      <c r="H6">
        <v>11212</v>
      </c>
      <c r="I6">
        <v>705598689</v>
      </c>
      <c r="J6">
        <v>442655508</v>
      </c>
      <c r="K6">
        <v>820107175</v>
      </c>
      <c r="L6">
        <v>48901985</v>
      </c>
      <c r="M6">
        <v>640535407</v>
      </c>
    </row>
    <row r="7" spans="1:13" x14ac:dyDescent="0.4">
      <c r="A7" t="s">
        <v>17</v>
      </c>
      <c r="B7">
        <v>988533486</v>
      </c>
      <c r="C7">
        <v>1292094590</v>
      </c>
      <c r="D7">
        <v>216475017</v>
      </c>
      <c r="E7">
        <v>29952415</v>
      </c>
      <c r="F7">
        <v>49871</v>
      </c>
      <c r="G7">
        <v>326280401</v>
      </c>
      <c r="H7">
        <v>59560</v>
      </c>
      <c r="I7">
        <v>737970800</v>
      </c>
      <c r="J7">
        <v>280443814</v>
      </c>
      <c r="K7">
        <v>115949772</v>
      </c>
      <c r="L7">
        <v>55271437</v>
      </c>
      <c r="M7">
        <v>876508952</v>
      </c>
    </row>
    <row r="8" spans="1:13" x14ac:dyDescent="0.4">
      <c r="A8" t="s">
        <v>18</v>
      </c>
      <c r="B8">
        <v>0.73697199999999996</v>
      </c>
      <c r="C8">
        <v>0.93100499999999997</v>
      </c>
      <c r="D8">
        <v>0.591028</v>
      </c>
      <c r="E8">
        <v>0.77120900000000003</v>
      </c>
      <c r="F8">
        <v>0.51801600000000003</v>
      </c>
      <c r="G8">
        <v>0.58549899999999999</v>
      </c>
      <c r="H8">
        <v>0.51667200000000002</v>
      </c>
      <c r="I8">
        <v>0.76112399999999991</v>
      </c>
      <c r="J8">
        <v>0.53462900000000002</v>
      </c>
      <c r="K8">
        <v>0.49406</v>
      </c>
      <c r="L8">
        <v>0.72835899999999998</v>
      </c>
      <c r="M8">
        <v>0.59187199999999995</v>
      </c>
    </row>
    <row r="9" spans="1:13" x14ac:dyDescent="0.4">
      <c r="A9" t="s">
        <v>19</v>
      </c>
      <c r="B9">
        <v>5.5006100000000002E-2</v>
      </c>
      <c r="C9">
        <v>3.7749699999999997E-2</v>
      </c>
      <c r="D9">
        <v>0.341248</v>
      </c>
      <c r="E9">
        <v>0.128194</v>
      </c>
      <c r="F9">
        <v>0.214952</v>
      </c>
      <c r="G9">
        <v>0.50024299999999999</v>
      </c>
      <c r="H9">
        <v>0.19931199999999999</v>
      </c>
      <c r="I9">
        <v>0.15204200000000001</v>
      </c>
      <c r="J9">
        <v>0.24609400000000001</v>
      </c>
      <c r="K9">
        <v>0.18337700000000001</v>
      </c>
      <c r="L9">
        <v>0.246089</v>
      </c>
      <c r="M9">
        <v>0.20811299999999999</v>
      </c>
    </row>
    <row r="10" spans="1:13" x14ac:dyDescent="0.4">
      <c r="A10" t="s">
        <v>20</v>
      </c>
      <c r="B10">
        <v>16.765899999999998</v>
      </c>
      <c r="C10">
        <v>32.9619</v>
      </c>
      <c r="D10">
        <v>20.6966</v>
      </c>
      <c r="E10">
        <v>298.024</v>
      </c>
      <c r="F10">
        <v>3.2831299999999999</v>
      </c>
      <c r="G10">
        <v>7.1489599999999998</v>
      </c>
      <c r="H10">
        <v>3.4207000000000001</v>
      </c>
      <c r="I10">
        <v>7.54474</v>
      </c>
      <c r="J10">
        <v>12.01</v>
      </c>
      <c r="K10">
        <v>55.732100000000003</v>
      </c>
      <c r="L10">
        <v>6.2124600000000001</v>
      </c>
      <c r="M10">
        <v>7.7837800000000001</v>
      </c>
    </row>
    <row r="11" spans="1:13" x14ac:dyDescent="0.4">
      <c r="A11" t="s">
        <v>21</v>
      </c>
      <c r="B11">
        <v>9277272138</v>
      </c>
      <c r="C11">
        <v>22850476098</v>
      </c>
      <c r="D11">
        <v>2028868468</v>
      </c>
      <c r="E11">
        <v>3794725962</v>
      </c>
      <c r="F11">
        <v>116606</v>
      </c>
      <c r="G11">
        <v>1338027606</v>
      </c>
      <c r="H11">
        <v>153599</v>
      </c>
      <c r="I11">
        <v>3068185232</v>
      </c>
      <c r="J11">
        <v>1544809046</v>
      </c>
      <c r="K11">
        <v>3538585166</v>
      </c>
      <c r="L11">
        <v>149906688</v>
      </c>
      <c r="M11">
        <v>4199663363</v>
      </c>
    </row>
    <row r="12" spans="1:13" x14ac:dyDescent="0.4">
      <c r="A12" t="s">
        <v>22</v>
      </c>
      <c r="B12">
        <v>7230809520</v>
      </c>
      <c r="C12">
        <v>18703553973</v>
      </c>
      <c r="D12">
        <v>1900340441</v>
      </c>
      <c r="E12">
        <v>3389377479</v>
      </c>
      <c r="F12">
        <v>64057</v>
      </c>
      <c r="G12">
        <v>1076118943</v>
      </c>
      <c r="H12">
        <v>79874</v>
      </c>
      <c r="I12">
        <v>2672736435</v>
      </c>
      <c r="J12">
        <v>1380096367</v>
      </c>
      <c r="K12">
        <v>1774447245</v>
      </c>
      <c r="L12">
        <v>179674786</v>
      </c>
      <c r="M12">
        <v>2817478184</v>
      </c>
    </row>
    <row r="13" spans="1:13" x14ac:dyDescent="0.4">
      <c r="A13" t="s">
        <v>23</v>
      </c>
      <c r="B13">
        <v>6900155983</v>
      </c>
      <c r="C13">
        <v>12586067916</v>
      </c>
      <c r="D13">
        <v>1087306404</v>
      </c>
      <c r="E13">
        <v>1772078097</v>
      </c>
      <c r="F13">
        <v>22881</v>
      </c>
      <c r="G13">
        <v>810102555</v>
      </c>
      <c r="H13">
        <v>27514</v>
      </c>
      <c r="I13">
        <v>1276368904</v>
      </c>
      <c r="J13">
        <v>1064588533</v>
      </c>
      <c r="K13">
        <v>1505847049</v>
      </c>
      <c r="L13">
        <v>103941667</v>
      </c>
      <c r="M13">
        <v>2604219379</v>
      </c>
    </row>
    <row r="14" spans="1:13" x14ac:dyDescent="0.4">
      <c r="A14" t="s">
        <v>24</v>
      </c>
      <c r="B14">
        <v>9628731398</v>
      </c>
      <c r="C14">
        <v>18676214335</v>
      </c>
      <c r="D14">
        <v>2091499766</v>
      </c>
      <c r="E14">
        <v>6258364669</v>
      </c>
      <c r="F14">
        <v>24220</v>
      </c>
      <c r="G14">
        <v>393115949</v>
      </c>
      <c r="H14">
        <v>36772</v>
      </c>
      <c r="I14">
        <v>2840195832</v>
      </c>
      <c r="J14">
        <v>1411896182</v>
      </c>
      <c r="K14">
        <v>4247327074</v>
      </c>
      <c r="L14">
        <v>118435440</v>
      </c>
      <c r="M14">
        <v>2564403877</v>
      </c>
    </row>
    <row r="15" spans="1:13" x14ac:dyDescent="0.4">
      <c r="B15">
        <f>SUM(B11:B12)/SUM(B11:B14)</f>
        <v>0.49968511453070286</v>
      </c>
      <c r="C15">
        <f t="shared" ref="C15:M15" si="0">SUM(C11:C12)/SUM(C11:C14)</f>
        <v>0.57066924629806171</v>
      </c>
      <c r="D15">
        <f t="shared" si="0"/>
        <v>0.55278567438728421</v>
      </c>
      <c r="E15">
        <f t="shared" si="0"/>
        <v>0.47218650778389265</v>
      </c>
      <c r="F15">
        <f t="shared" si="0"/>
        <v>0.79320261323123931</v>
      </c>
      <c r="G15">
        <f t="shared" si="0"/>
        <v>0.66737708625726588</v>
      </c>
      <c r="H15">
        <f t="shared" si="0"/>
        <v>0.78410056455052579</v>
      </c>
      <c r="I15">
        <f t="shared" si="0"/>
        <v>0.58239204522289012</v>
      </c>
      <c r="J15">
        <f t="shared" si="0"/>
        <v>0.54150974909916749</v>
      </c>
      <c r="K15">
        <f t="shared" si="0"/>
        <v>0.48011325242088598</v>
      </c>
      <c r="L15">
        <f t="shared" si="0"/>
        <v>0.59711269168582781</v>
      </c>
      <c r="M15">
        <f t="shared" si="0"/>
        <v>0.5758474466266128</v>
      </c>
    </row>
    <row r="16" spans="1:13" x14ac:dyDescent="0.4">
      <c r="A16" t="s">
        <v>25</v>
      </c>
      <c r="B16">
        <v>8109952596</v>
      </c>
      <c r="C16">
        <v>15487562596</v>
      </c>
      <c r="D16">
        <v>1195638006</v>
      </c>
      <c r="E16">
        <v>2945176952</v>
      </c>
      <c r="F16">
        <v>76298</v>
      </c>
      <c r="G16">
        <v>810737136</v>
      </c>
      <c r="H16">
        <v>102454</v>
      </c>
      <c r="I16">
        <v>2217518889</v>
      </c>
      <c r="J16">
        <v>1381577745</v>
      </c>
      <c r="K16">
        <v>2707409119</v>
      </c>
      <c r="L16">
        <v>158102466</v>
      </c>
      <c r="M16">
        <v>2504005489</v>
      </c>
    </row>
    <row r="17" spans="1:13" x14ac:dyDescent="0.4">
      <c r="A17" t="s">
        <v>26</v>
      </c>
      <c r="B17">
        <v>5586544109</v>
      </c>
      <c r="C17">
        <v>11787022657</v>
      </c>
      <c r="D17">
        <v>1366816707</v>
      </c>
      <c r="E17">
        <v>2774348815</v>
      </c>
      <c r="F17">
        <v>69011</v>
      </c>
      <c r="G17">
        <v>777281152</v>
      </c>
      <c r="H17">
        <v>85880</v>
      </c>
      <c r="I17">
        <v>2370796531</v>
      </c>
      <c r="J17">
        <v>1072094656</v>
      </c>
      <c r="K17">
        <v>1426244578</v>
      </c>
      <c r="L17">
        <v>140137496</v>
      </c>
      <c r="M17">
        <v>2285161367</v>
      </c>
    </row>
    <row r="18" spans="1:13" x14ac:dyDescent="0.4">
      <c r="A18" t="s">
        <v>27</v>
      </c>
      <c r="B18">
        <v>2856397553</v>
      </c>
      <c r="C18">
        <v>8612320722</v>
      </c>
      <c r="D18">
        <v>957374077</v>
      </c>
      <c r="E18">
        <v>1284782243</v>
      </c>
      <c r="F18">
        <v>29618</v>
      </c>
      <c r="G18">
        <v>519657363</v>
      </c>
      <c r="H18">
        <v>32624</v>
      </c>
      <c r="I18">
        <v>720078106</v>
      </c>
      <c r="J18">
        <v>740483976</v>
      </c>
      <c r="K18">
        <v>415387435</v>
      </c>
      <c r="L18">
        <v>68873450</v>
      </c>
      <c r="M18">
        <v>1958346053</v>
      </c>
    </row>
    <row r="19" spans="1:13" x14ac:dyDescent="0.4">
      <c r="A19" t="s">
        <v>28</v>
      </c>
      <c r="B19">
        <v>942725089</v>
      </c>
      <c r="C19">
        <v>4999518810</v>
      </c>
      <c r="D19">
        <v>723424790</v>
      </c>
      <c r="E19">
        <v>1015352993</v>
      </c>
      <c r="F19">
        <v>10661</v>
      </c>
      <c r="G19">
        <v>496534242</v>
      </c>
      <c r="H19">
        <v>13404</v>
      </c>
      <c r="I19">
        <v>503083927</v>
      </c>
      <c r="J19">
        <v>616243922</v>
      </c>
      <c r="K19">
        <v>1174645819</v>
      </c>
      <c r="L19">
        <v>45704509</v>
      </c>
      <c r="M19">
        <v>693192753</v>
      </c>
    </row>
    <row r="20" spans="1:13" x14ac:dyDescent="0.4">
      <c r="B20">
        <f>SUM(B16:B17)/SUM(B16:B19)</f>
        <v>0.78285292068546053</v>
      </c>
      <c r="C20">
        <f t="shared" ref="C20:M20" si="1">SUM(C16:C17)/SUM(C16:C19)</f>
        <v>0.66708168778323274</v>
      </c>
      <c r="D20">
        <f t="shared" si="1"/>
        <v>0.60388913004817402</v>
      </c>
      <c r="E20">
        <f t="shared" si="1"/>
        <v>0.71318797201782425</v>
      </c>
      <c r="F20">
        <f t="shared" si="1"/>
        <v>0.78296549345862876</v>
      </c>
      <c r="G20">
        <f t="shared" si="1"/>
        <v>0.60978890075969772</v>
      </c>
      <c r="H20">
        <f t="shared" si="1"/>
        <v>0.80360297317824558</v>
      </c>
      <c r="I20">
        <f t="shared" si="1"/>
        <v>0.78952649427064725</v>
      </c>
      <c r="J20">
        <f t="shared" si="1"/>
        <v>0.64394084832607767</v>
      </c>
      <c r="K20">
        <f t="shared" si="1"/>
        <v>0.72220121966625006</v>
      </c>
      <c r="L20">
        <f t="shared" si="1"/>
        <v>0.72244916421639549</v>
      </c>
      <c r="M20">
        <f t="shared" si="1"/>
        <v>0.64364417483391112</v>
      </c>
    </row>
    <row r="21" spans="1:13" x14ac:dyDescent="0.4">
      <c r="A21" t="s">
        <v>29</v>
      </c>
      <c r="B21">
        <v>13014457145</v>
      </c>
      <c r="C21">
        <v>31457126957</v>
      </c>
      <c r="D21">
        <v>3132485505</v>
      </c>
      <c r="E21">
        <v>6886874520</v>
      </c>
      <c r="F21">
        <v>130408</v>
      </c>
      <c r="G21">
        <v>1610221931</v>
      </c>
      <c r="H21">
        <v>165694</v>
      </c>
      <c r="I21">
        <v>4240702289</v>
      </c>
      <c r="J21">
        <v>2188477937</v>
      </c>
      <c r="K21">
        <v>4762143391</v>
      </c>
      <c r="L21">
        <v>234666732</v>
      </c>
      <c r="M21">
        <v>4897904485</v>
      </c>
    </row>
    <row r="22" spans="1:13" x14ac:dyDescent="0.4">
      <c r="A22" t="s">
        <v>30</v>
      </c>
      <c r="B22">
        <v>1857035961</v>
      </c>
      <c r="C22">
        <v>3397668747</v>
      </c>
      <c r="D22">
        <v>391075132</v>
      </c>
      <c r="E22">
        <v>381901353</v>
      </c>
      <c r="F22">
        <v>34854</v>
      </c>
      <c r="G22">
        <v>316714765</v>
      </c>
      <c r="H22">
        <v>43972</v>
      </c>
      <c r="I22">
        <v>766321877</v>
      </c>
      <c r="J22">
        <v>534544656</v>
      </c>
      <c r="K22">
        <v>289307067</v>
      </c>
      <c r="L22">
        <v>85283373</v>
      </c>
      <c r="M22">
        <v>1164592597</v>
      </c>
    </row>
    <row r="23" spans="1:13" x14ac:dyDescent="0.4">
      <c r="A23" t="s">
        <v>31</v>
      </c>
      <c r="B23">
        <v>2083231326</v>
      </c>
      <c r="C23">
        <v>4265886534</v>
      </c>
      <c r="D23">
        <v>433713697</v>
      </c>
      <c r="E23">
        <v>492445664</v>
      </c>
      <c r="F23">
        <v>5755</v>
      </c>
      <c r="G23">
        <v>299201436</v>
      </c>
      <c r="H23">
        <v>8095</v>
      </c>
      <c r="I23">
        <v>498725923</v>
      </c>
      <c r="J23">
        <v>503802990</v>
      </c>
      <c r="K23">
        <v>215783464</v>
      </c>
      <c r="L23">
        <v>58557545</v>
      </c>
      <c r="M23">
        <v>923914630</v>
      </c>
    </row>
    <row r="24" spans="1:13" x14ac:dyDescent="0.4">
      <c r="A24" t="s">
        <v>32</v>
      </c>
      <c r="B24">
        <v>540894706</v>
      </c>
      <c r="C24">
        <v>1765740709</v>
      </c>
      <c r="D24">
        <v>285979026</v>
      </c>
      <c r="E24">
        <v>258439259</v>
      </c>
      <c r="F24">
        <v>14352</v>
      </c>
      <c r="G24">
        <v>378071557</v>
      </c>
      <c r="H24">
        <v>16389</v>
      </c>
      <c r="I24">
        <v>305727159</v>
      </c>
      <c r="J24">
        <v>583574510</v>
      </c>
      <c r="K24">
        <v>456452817</v>
      </c>
      <c r="L24">
        <v>34310066</v>
      </c>
      <c r="M24">
        <v>454293741</v>
      </c>
    </row>
    <row r="25" spans="1:13" x14ac:dyDescent="0.4">
      <c r="B25">
        <f>SUM(B21:B22)/SUM(B21:B24)</f>
        <v>0.85001239388548011</v>
      </c>
      <c r="C25">
        <f t="shared" ref="C25:M25" si="2">SUM(C21:C22)/SUM(C21:C24)</f>
        <v>0.85247848042812058</v>
      </c>
      <c r="D25">
        <f t="shared" si="2"/>
        <v>0.83039129131803713</v>
      </c>
      <c r="E25">
        <f t="shared" si="2"/>
        <v>0.90636949091730634</v>
      </c>
      <c r="F25">
        <f t="shared" si="2"/>
        <v>0.89152986745356555</v>
      </c>
      <c r="G25">
        <f t="shared" si="2"/>
        <v>0.73993146716996183</v>
      </c>
      <c r="H25">
        <f t="shared" si="2"/>
        <v>0.89543455050181509</v>
      </c>
      <c r="I25">
        <f t="shared" si="2"/>
        <v>0.86157511288943789</v>
      </c>
      <c r="J25">
        <f t="shared" si="2"/>
        <v>0.71462904853545517</v>
      </c>
      <c r="K25">
        <f t="shared" si="2"/>
        <v>0.88255187405356705</v>
      </c>
      <c r="L25">
        <f t="shared" si="2"/>
        <v>0.77503966666004231</v>
      </c>
      <c r="M25">
        <f t="shared" si="2"/>
        <v>0.81477450226922721</v>
      </c>
    </row>
    <row r="26" spans="1:13" x14ac:dyDescent="0.4">
      <c r="A26" t="s">
        <v>33</v>
      </c>
      <c r="B26">
        <v>3.5291099999999998E-7</v>
      </c>
      <c r="C26">
        <v>2.89107E-7</v>
      </c>
      <c r="D26">
        <v>1.11882E-3</v>
      </c>
      <c r="E26">
        <v>1.46732E-6</v>
      </c>
      <c r="F26">
        <v>5.3600899999999996E-3</v>
      </c>
      <c r="G26">
        <v>6.2881500000000002E-3</v>
      </c>
      <c r="H26">
        <v>2.55827E-2</v>
      </c>
      <c r="I26">
        <v>7.6076599999999996E-4</v>
      </c>
      <c r="J26">
        <v>4.8307800000000001E-4</v>
      </c>
      <c r="K26">
        <v>1.2534599999999999E-7</v>
      </c>
      <c r="L26">
        <v>4.1373900000000003E-3</v>
      </c>
      <c r="M26">
        <v>2.16879E-2</v>
      </c>
    </row>
    <row r="27" spans="1:13" x14ac:dyDescent="0.4">
      <c r="A27" t="s">
        <v>34</v>
      </c>
      <c r="B27">
        <v>6.1878599999999999E-2</v>
      </c>
      <c r="C27">
        <v>4.6011999999999997E-2</v>
      </c>
      <c r="D27">
        <v>7.2460700000000003E-3</v>
      </c>
      <c r="E27">
        <v>2.9100699999999998E-3</v>
      </c>
      <c r="F27">
        <v>0.57270399999999999</v>
      </c>
      <c r="G27">
        <v>5.7024900000000002E-3</v>
      </c>
      <c r="H27">
        <v>0.57077199999999995</v>
      </c>
      <c r="I27">
        <v>0.27639599999999998</v>
      </c>
      <c r="J27">
        <v>4.2711899999999997E-2</v>
      </c>
      <c r="K27">
        <v>2.2271200000000001E-5</v>
      </c>
      <c r="L27">
        <v>0.29577399999999998</v>
      </c>
      <c r="M27">
        <v>6.1484799999999999E-2</v>
      </c>
    </row>
    <row r="28" spans="1:13" x14ac:dyDescent="0.4">
      <c r="A28" t="s">
        <v>35</v>
      </c>
      <c r="B28">
        <v>7.7616199999999996E-2</v>
      </c>
      <c r="C28">
        <v>5.2003899999999999E-2</v>
      </c>
      <c r="D28">
        <v>3.0151500000000001E-2</v>
      </c>
      <c r="E28">
        <v>2.1085600000000002E-3</v>
      </c>
      <c r="F28">
        <v>0.22250700000000001</v>
      </c>
      <c r="G28">
        <v>7.1735200000000001E-3</v>
      </c>
      <c r="H28">
        <v>0.181368</v>
      </c>
      <c r="I28">
        <v>3.10805E-2</v>
      </c>
      <c r="J28">
        <v>6.8925799999999995E-2</v>
      </c>
      <c r="K28">
        <v>4.8998899999999996E-3</v>
      </c>
      <c r="L28">
        <v>7.0792400000000005E-2</v>
      </c>
      <c r="M28">
        <v>0.179395</v>
      </c>
    </row>
    <row r="29" spans="1:13" x14ac:dyDescent="0.4">
      <c r="A29" t="s">
        <v>36</v>
      </c>
      <c r="B29">
        <v>0.46797499999999997</v>
      </c>
      <c r="C29">
        <v>9.8390699999999998E-2</v>
      </c>
      <c r="D29">
        <v>5.4843099999999999E-2</v>
      </c>
      <c r="E29">
        <v>3.66172E-4</v>
      </c>
      <c r="F29">
        <v>1.6893200000000001E-2</v>
      </c>
      <c r="G29">
        <v>1.4445E-2</v>
      </c>
      <c r="H29">
        <v>1.5316700000000001E-2</v>
      </c>
      <c r="I29">
        <v>0.117628</v>
      </c>
      <c r="J29">
        <v>2.0216700000000001E-2</v>
      </c>
      <c r="K29">
        <v>1.84385E-2</v>
      </c>
      <c r="L29">
        <v>1.84771E-2</v>
      </c>
      <c r="M29">
        <v>0.284555</v>
      </c>
    </row>
    <row r="30" spans="1:13" x14ac:dyDescent="0.4">
      <c r="A30" t="s">
        <v>37</v>
      </c>
      <c r="B30">
        <v>0.39252900000000002</v>
      </c>
      <c r="C30">
        <v>0.803593</v>
      </c>
      <c r="D30">
        <v>0.90664</v>
      </c>
      <c r="E30">
        <v>0.994614</v>
      </c>
      <c r="F30">
        <v>0.182535</v>
      </c>
      <c r="G30">
        <v>0.966391</v>
      </c>
      <c r="H30">
        <v>0.20696100000000001</v>
      </c>
      <c r="I30">
        <v>0.57413499999999995</v>
      </c>
      <c r="J30">
        <v>0.86766299999999996</v>
      </c>
      <c r="K30">
        <v>0.97663900000000003</v>
      </c>
      <c r="L30">
        <v>0.610819</v>
      </c>
      <c r="M30">
        <v>0.452878</v>
      </c>
    </row>
    <row r="32" spans="1:13" x14ac:dyDescent="0.4">
      <c r="A32" t="s">
        <v>38</v>
      </c>
      <c r="B32">
        <v>0.84197200000000005</v>
      </c>
      <c r="C32">
        <v>0.81991099999999995</v>
      </c>
      <c r="D32">
        <v>0.84210099999999999</v>
      </c>
      <c r="E32">
        <v>0.80102099999999998</v>
      </c>
      <c r="F32">
        <v>0.966306</v>
      </c>
      <c r="G32">
        <v>0.80998300000000001</v>
      </c>
      <c r="H32">
        <v>0.95928500000000005</v>
      </c>
      <c r="I32">
        <v>0.87896300000000005</v>
      </c>
      <c r="J32">
        <v>0.83962300000000001</v>
      </c>
      <c r="K32">
        <v>0.83433500000000005</v>
      </c>
      <c r="L32">
        <v>0.87830200000000003</v>
      </c>
      <c r="M32">
        <v>0.90290899999999996</v>
      </c>
    </row>
    <row r="33" spans="1:13" x14ac:dyDescent="0.4">
      <c r="A33" t="s">
        <v>39</v>
      </c>
      <c r="B33">
        <v>0.113202</v>
      </c>
      <c r="C33">
        <v>7.5161400000000003E-2</v>
      </c>
      <c r="D33">
        <v>1.99125E-2</v>
      </c>
      <c r="E33">
        <v>6.9504099999999997E-3</v>
      </c>
      <c r="F33">
        <v>1.49655E-2</v>
      </c>
      <c r="G33">
        <v>3.0913300000000001E-2</v>
      </c>
      <c r="H33">
        <v>5.7400699999999999E-3</v>
      </c>
      <c r="I33">
        <v>4.6032499999999997E-2</v>
      </c>
      <c r="J33">
        <v>1.04826E-2</v>
      </c>
      <c r="K33">
        <v>4.1059199999999999E-3</v>
      </c>
      <c r="L33">
        <v>2.6244E-2</v>
      </c>
      <c r="M33">
        <v>2.4978299999999998E-2</v>
      </c>
    </row>
    <row r="34" spans="1:13" x14ac:dyDescent="0.4">
      <c r="A34" t="s">
        <v>40</v>
      </c>
      <c r="B34">
        <v>2.0892000000000001E-2</v>
      </c>
      <c r="C34">
        <v>7.4241100000000004E-2</v>
      </c>
      <c r="D34">
        <v>1.49739E-2</v>
      </c>
      <c r="E34">
        <v>5.2255800000000001E-4</v>
      </c>
      <c r="F34">
        <v>7.5011800000000003E-4</v>
      </c>
      <c r="G34">
        <v>5.1615899999999999E-2</v>
      </c>
      <c r="H34">
        <v>1.1613800000000001E-2</v>
      </c>
      <c r="I34">
        <v>3.3478500000000001E-2</v>
      </c>
      <c r="J34">
        <v>9.0874200000000006E-3</v>
      </c>
      <c r="K34">
        <v>2.1604999999999999E-2</v>
      </c>
      <c r="L34">
        <v>8.3280000000000007E-2</v>
      </c>
      <c r="M34">
        <v>2.6330500000000001E-3</v>
      </c>
    </row>
    <row r="35" spans="1:13" x14ac:dyDescent="0.4">
      <c r="A35" t="s">
        <v>41</v>
      </c>
      <c r="B35">
        <v>4.0446600000000003E-3</v>
      </c>
      <c r="C35">
        <v>2.2568499999999998E-2</v>
      </c>
      <c r="D35">
        <v>7.7380399999999998E-3</v>
      </c>
      <c r="E35">
        <v>1.8233299999999999E-4</v>
      </c>
      <c r="F35">
        <v>2.3733299999999999E-3</v>
      </c>
      <c r="G35">
        <v>3.04426E-2</v>
      </c>
      <c r="H35">
        <v>2.99869E-3</v>
      </c>
      <c r="I35">
        <v>1.43038E-2</v>
      </c>
      <c r="J35">
        <v>2.1768099999999999E-2</v>
      </c>
      <c r="K35">
        <v>8.9731100000000003E-4</v>
      </c>
      <c r="L35">
        <v>1.00988E-2</v>
      </c>
      <c r="M35">
        <v>1.38011E-2</v>
      </c>
    </row>
    <row r="36" spans="1:13" x14ac:dyDescent="0.4">
      <c r="A36" t="s">
        <v>42</v>
      </c>
      <c r="B36">
        <v>1.9889199999999999E-2</v>
      </c>
      <c r="C36">
        <v>8.1175599999999994E-3</v>
      </c>
      <c r="D36">
        <v>0.115274</v>
      </c>
      <c r="E36">
        <v>0.19132399999999999</v>
      </c>
      <c r="F36">
        <v>1.56049E-2</v>
      </c>
      <c r="G36">
        <v>7.7045199999999994E-2</v>
      </c>
      <c r="H36">
        <v>2.0362399999999999E-2</v>
      </c>
      <c r="I36">
        <v>2.7222099999999999E-2</v>
      </c>
      <c r="J36">
        <v>0.11903900000000001</v>
      </c>
      <c r="K36">
        <v>0.13905699999999999</v>
      </c>
      <c r="L36">
        <v>2.0755999999999999E-3</v>
      </c>
      <c r="M36">
        <v>5.5678999999999999E-2</v>
      </c>
    </row>
    <row r="38" spans="1:13" x14ac:dyDescent="0.4">
      <c r="A38" t="s">
        <v>43</v>
      </c>
      <c r="B38">
        <v>0.99858000000000002</v>
      </c>
      <c r="C38">
        <v>0.99999899999999997</v>
      </c>
      <c r="D38">
        <v>0.99657700000000005</v>
      </c>
      <c r="E38">
        <v>0.999892</v>
      </c>
      <c r="F38">
        <v>0.99601600000000001</v>
      </c>
      <c r="G38">
        <v>0.98963400000000001</v>
      </c>
      <c r="H38">
        <v>0.99510900000000002</v>
      </c>
      <c r="I38">
        <v>0.994564</v>
      </c>
      <c r="J38">
        <v>0.98761299999999996</v>
      </c>
      <c r="K38">
        <v>1</v>
      </c>
      <c r="L38">
        <v>0.96817399999999998</v>
      </c>
      <c r="M38">
        <v>0.99078500000000003</v>
      </c>
    </row>
    <row r="39" spans="1:13" x14ac:dyDescent="0.4">
      <c r="A39" t="s">
        <v>44</v>
      </c>
      <c r="B39">
        <v>1.41961E-3</v>
      </c>
      <c r="C39">
        <v>5.4379099999999995E-7</v>
      </c>
      <c r="D39">
        <v>2.3733199999999999E-3</v>
      </c>
      <c r="E39">
        <v>8.6890299999999997E-5</v>
      </c>
      <c r="F39">
        <v>2.3339599999999999E-3</v>
      </c>
      <c r="G39">
        <v>8.5071399999999998E-3</v>
      </c>
      <c r="H39">
        <v>3.2996800000000001E-3</v>
      </c>
      <c r="I39">
        <v>2.3793E-3</v>
      </c>
      <c r="J39">
        <v>1.10819E-2</v>
      </c>
      <c r="K39">
        <v>3.1986400000000001E-7</v>
      </c>
      <c r="L39">
        <v>3.1677900000000002E-2</v>
      </c>
      <c r="M39">
        <v>5.3608700000000002E-3</v>
      </c>
    </row>
    <row r="40" spans="1:13" x14ac:dyDescent="0.4">
      <c r="A40" t="s">
        <v>45</v>
      </c>
      <c r="B40">
        <v>1.0130599999999999E-7</v>
      </c>
      <c r="C40">
        <v>2.0958E-7</v>
      </c>
      <c r="D40">
        <v>7.9540899999999996E-4</v>
      </c>
      <c r="E40">
        <v>1.3694599999999999E-5</v>
      </c>
      <c r="F40">
        <v>1.4602599999999999E-3</v>
      </c>
      <c r="G40">
        <v>4.2535700000000001E-4</v>
      </c>
      <c r="H40">
        <v>1.2472E-3</v>
      </c>
      <c r="I40">
        <v>1.4178999999999999E-3</v>
      </c>
      <c r="J40">
        <v>6.8264699999999998E-4</v>
      </c>
      <c r="K40">
        <v>6.5458399999999998E-8</v>
      </c>
      <c r="L40">
        <v>8.1212300000000002E-5</v>
      </c>
      <c r="M40">
        <v>3.2069099999999999E-3</v>
      </c>
    </row>
    <row r="41" spans="1:13" x14ac:dyDescent="0.4">
      <c r="A41" t="s">
        <v>46</v>
      </c>
      <c r="B41">
        <v>8.8152200000000005E-8</v>
      </c>
      <c r="C41">
        <v>1.3517299999999999E-7</v>
      </c>
      <c r="D41">
        <v>2.5367800000000002E-4</v>
      </c>
      <c r="E41">
        <v>6.9433400000000003E-6</v>
      </c>
      <c r="F41">
        <v>1.46637E-4</v>
      </c>
      <c r="G41">
        <v>8.5519999999999997E-4</v>
      </c>
      <c r="H41">
        <v>2.4551199999999998E-4</v>
      </c>
      <c r="I41">
        <v>1.4140699999999999E-3</v>
      </c>
      <c r="J41">
        <v>4.8982300000000002E-4</v>
      </c>
      <c r="K41">
        <v>1.09871E-8</v>
      </c>
      <c r="L41">
        <v>4.3667000000000001E-5</v>
      </c>
      <c r="M41">
        <v>6.4742399999999996E-4</v>
      </c>
    </row>
    <row r="42" spans="1:13" x14ac:dyDescent="0.4">
      <c r="A42" t="s">
        <v>47</v>
      </c>
      <c r="B42">
        <v>8.9177900000000001E-8</v>
      </c>
      <c r="C42">
        <v>1.0751400000000001E-7</v>
      </c>
      <c r="D42">
        <v>1.6182E-7</v>
      </c>
      <c r="E42">
        <v>9.3384500000000004E-7</v>
      </c>
      <c r="F42">
        <v>4.2769000000000003E-5</v>
      </c>
      <c r="G42">
        <v>5.7841299999999995E-4</v>
      </c>
      <c r="H42">
        <v>9.8204799999999999E-5</v>
      </c>
      <c r="I42">
        <v>2.24706E-4</v>
      </c>
      <c r="J42">
        <v>1.32323E-4</v>
      </c>
      <c r="K42">
        <v>1.70223E-9</v>
      </c>
      <c r="L42">
        <v>2.2803299999999999E-5</v>
      </c>
      <c r="M42">
        <v>2.7115900000000003E-7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宇廷 鄭</cp:lastModifiedBy>
  <dcterms:created xsi:type="dcterms:W3CDTF">2026-04-23T16:13:01Z</dcterms:created>
  <dcterms:modified xsi:type="dcterms:W3CDTF">2026-04-23T16:32:05Z</dcterms:modified>
</cp:coreProperties>
</file>