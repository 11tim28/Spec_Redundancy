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Texas\26S\Perf\project\Perf\speedup\"/>
    </mc:Choice>
  </mc:AlternateContent>
  <xr:revisionPtr revIDLastSave="0" documentId="13_ncr:1_{1C6AF4EB-8259-49EC-95DD-A9D67A255B7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" i="1" l="1"/>
  <c r="N14" i="1"/>
  <c r="P12" i="1"/>
  <c r="N12" i="1"/>
  <c r="M12" i="1"/>
  <c r="M11" i="1"/>
  <c r="N11" i="1" s="1"/>
  <c r="O12" i="1"/>
  <c r="O11" i="1"/>
  <c r="P11" i="1" s="1"/>
  <c r="P5" i="1"/>
  <c r="P6" i="1"/>
  <c r="P7" i="1"/>
  <c r="P8" i="1"/>
  <c r="P9" i="1"/>
  <c r="P10" i="1"/>
  <c r="P4" i="1"/>
  <c r="O10" i="1"/>
  <c r="O9" i="1"/>
  <c r="O8" i="1"/>
  <c r="O7" i="1"/>
  <c r="O6" i="1"/>
  <c r="O5" i="1"/>
  <c r="O4" i="1"/>
  <c r="N5" i="1"/>
  <c r="N6" i="1"/>
  <c r="N7" i="1"/>
  <c r="N8" i="1"/>
  <c r="N9" i="1"/>
  <c r="N10" i="1"/>
  <c r="N4" i="1"/>
  <c r="M10" i="1"/>
  <c r="M9" i="1"/>
  <c r="M8" i="1"/>
  <c r="M7" i="1"/>
  <c r="M6" i="1"/>
  <c r="M5" i="1"/>
  <c r="M4" i="1"/>
  <c r="I13" i="1"/>
  <c r="I12" i="1"/>
  <c r="H12" i="1"/>
  <c r="G12" i="1"/>
  <c r="F12" i="1"/>
  <c r="H11" i="1"/>
  <c r="G11" i="1"/>
  <c r="F11" i="1"/>
  <c r="I11" i="1" s="1"/>
  <c r="H10" i="1"/>
  <c r="G10" i="1"/>
  <c r="F10" i="1"/>
  <c r="I10" i="1" s="1"/>
  <c r="I9" i="1"/>
  <c r="H9" i="1"/>
  <c r="G9" i="1"/>
  <c r="F9" i="1"/>
  <c r="H8" i="1"/>
  <c r="I8" i="1" s="1"/>
  <c r="G8" i="1"/>
  <c r="F8" i="1"/>
  <c r="H7" i="1"/>
  <c r="G7" i="1"/>
  <c r="F7" i="1"/>
  <c r="I7" i="1" s="1"/>
  <c r="H6" i="1"/>
  <c r="G6" i="1"/>
  <c r="F6" i="1"/>
  <c r="I6" i="1" s="1"/>
  <c r="H5" i="1"/>
  <c r="G5" i="1"/>
  <c r="F5" i="1"/>
  <c r="I5" i="1" s="1"/>
  <c r="H4" i="1"/>
  <c r="G4" i="1"/>
  <c r="F4" i="1"/>
  <c r="I4" i="1" s="1"/>
  <c r="H3" i="1"/>
  <c r="G3" i="1"/>
  <c r="F3" i="1"/>
  <c r="I3" i="1" s="1"/>
  <c r="H2" i="1"/>
  <c r="G2" i="1"/>
  <c r="F2" i="1"/>
  <c r="I2" i="1" s="1"/>
</calcChain>
</file>

<file path=xl/sharedStrings.xml><?xml version="1.0" encoding="utf-8"?>
<sst xmlns="http://schemas.openxmlformats.org/spreadsheetml/2006/main" count="19" uniqueCount="19">
  <si>
    <t>vm-small</t>
  </si>
  <si>
    <t>dev</t>
  </si>
  <si>
    <t>spr</t>
  </si>
  <si>
    <t>skx-dev</t>
  </si>
  <si>
    <t>503</t>
  </si>
  <si>
    <t>507</t>
  </si>
  <si>
    <t>508</t>
  </si>
  <si>
    <t>511</t>
  </si>
  <si>
    <t>519</t>
  </si>
  <si>
    <t>521</t>
  </si>
  <si>
    <t>526</t>
  </si>
  <si>
    <t>527</t>
  </si>
  <si>
    <t>538</t>
  </si>
  <si>
    <t>544</t>
  </si>
  <si>
    <t>549</t>
  </si>
  <si>
    <t>Perf</t>
    <phoneticPr fontId="2" type="noConversion"/>
  </si>
  <si>
    <t>Pin</t>
    <phoneticPr fontId="2" type="noConversion"/>
  </si>
  <si>
    <t>Perf error%</t>
    <phoneticPr fontId="2" type="noConversion"/>
  </si>
  <si>
    <t>Pin error%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</si>
</sst>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2017</a:t>
            </a:r>
            <a:r>
              <a:rPr lang="en-US" altLang="zh-TW" baseline="0"/>
              <a:t> 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Perf error%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Sheet1!$L$4:$L$12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Sheet1!$N$4:$N$12</c:f>
              <c:numCache>
                <c:formatCode>General</c:formatCode>
                <c:ptCount val="9"/>
                <c:pt idx="0">
                  <c:v>5.9569622411834224</c:v>
                </c:pt>
                <c:pt idx="1">
                  <c:v>9.0772732703508971</c:v>
                </c:pt>
                <c:pt idx="2">
                  <c:v>3.8896645965321399</c:v>
                </c:pt>
                <c:pt idx="3">
                  <c:v>1.5454386636685495</c:v>
                </c:pt>
                <c:pt idx="4">
                  <c:v>8.1011312146117093E-2</c:v>
                </c:pt>
                <c:pt idx="5">
                  <c:v>0.2317706183030879</c:v>
                </c:pt>
                <c:pt idx="6">
                  <c:v>1.198445644028501</c:v>
                </c:pt>
                <c:pt idx="7">
                  <c:v>1.5411505823416483</c:v>
                </c:pt>
                <c:pt idx="8">
                  <c:v>0.19528868772509242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B-4640-87C5-A11EAEF8D307}"/>
            </c:ext>
          </c:extLst>
        </c:ser>
        <c:ser>
          <c:idx val="1"/>
          <c:order val="1"/>
          <c:tx>
            <c:strRef>
              <c:f>Sheet1!$P$3</c:f>
              <c:strCache>
                <c:ptCount val="1"/>
                <c:pt idx="0">
                  <c:v>Pin error%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Sheet1!$L$4:$L$12</c:f>
              <c:numCache>
                <c:formatCode>General</c:formatCod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numCache>
            </c:numRef>
          </c:cat>
          <c:val>
            <c:numRef>
              <c:f>Sheet1!$P$4:$P$12</c:f>
              <c:numCache>
                <c:formatCode>General</c:formatCode>
                <c:ptCount val="9"/>
                <c:pt idx="0">
                  <c:v>0.5636149636021256</c:v>
                </c:pt>
                <c:pt idx="1">
                  <c:v>0.24939551408665128</c:v>
                </c:pt>
                <c:pt idx="2">
                  <c:v>3.5300520657157455E-2</c:v>
                </c:pt>
                <c:pt idx="3">
                  <c:v>0.31809802522109326</c:v>
                </c:pt>
                <c:pt idx="4">
                  <c:v>1.9873029302177725</c:v>
                </c:pt>
                <c:pt idx="5">
                  <c:v>2.3982529465432485</c:v>
                </c:pt>
                <c:pt idx="6">
                  <c:v>2.5915008725290738</c:v>
                </c:pt>
                <c:pt idx="7">
                  <c:v>0.38226420129528077</c:v>
                </c:pt>
                <c:pt idx="8">
                  <c:v>0.17178274620349041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4B-4640-87C5-A11EAEF8D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5384383"/>
        <c:axId val="325378143"/>
      </c:barChart>
      <c:catAx>
        <c:axId val="325384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5378143"/>
        <c:crosses val="autoZero"/>
        <c:auto val="1"/>
        <c:lblAlgn val="ctr"/>
        <c:lblOffset val="100"/>
        <c:noMultiLvlLbl val="0"/>
      </c:catAx>
      <c:valAx>
        <c:axId val="3253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25384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14</xdr:row>
      <xdr:rowOff>77561</xdr:rowOff>
    </xdr:from>
    <xdr:to>
      <xdr:col>18</xdr:col>
      <xdr:colOff>138793</xdr:colOff>
      <xdr:row>28</xdr:row>
      <xdr:rowOff>77561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D597D-EC91-BC52-F972-ACFEEE083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selection activeCell="P15" sqref="P15"/>
    </sheetView>
  </sheetViews>
  <sheetFormatPr defaultRowHeight="15.45" x14ac:dyDescent="0.4"/>
  <sheetData>
    <row r="1" spans="1:16" x14ac:dyDescent="0.4">
      <c r="B1" s="1" t="s">
        <v>0</v>
      </c>
      <c r="C1" s="1" t="s">
        <v>1</v>
      </c>
      <c r="D1" s="1" t="s">
        <v>2</v>
      </c>
      <c r="E1" s="1" t="s">
        <v>3</v>
      </c>
    </row>
    <row r="2" spans="1:16" x14ac:dyDescent="0.4">
      <c r="A2" s="1" t="s">
        <v>4</v>
      </c>
      <c r="B2">
        <v>2.5932365900000001</v>
      </c>
      <c r="C2">
        <v>2.469011649</v>
      </c>
      <c r="D2">
        <v>2.6242085620000002</v>
      </c>
      <c r="E2">
        <v>3.444270151</v>
      </c>
      <c r="F2">
        <f>B2/C2</f>
        <v>1.0503136309827916</v>
      </c>
      <c r="G2">
        <f>B2/D2</f>
        <v>0.98819759509648297</v>
      </c>
      <c r="H2">
        <f>B2/E2</f>
        <v>0.75291323743786087</v>
      </c>
      <c r="I2">
        <f>AVERAGE(F2:H2)</f>
        <v>0.93047482117237845</v>
      </c>
    </row>
    <row r="3" spans="1:16" x14ac:dyDescent="0.4">
      <c r="A3" s="1" t="s">
        <v>5</v>
      </c>
      <c r="B3">
        <v>3.1882875550000001</v>
      </c>
      <c r="C3">
        <v>2.90197774</v>
      </c>
      <c r="D3">
        <v>2.2797685379999999</v>
      </c>
      <c r="E3">
        <v>3.4256978189999998</v>
      </c>
      <c r="F3">
        <f t="shared" ref="F3:F12" si="0">B3/C3</f>
        <v>1.0986602381726058</v>
      </c>
      <c r="G3">
        <f t="shared" ref="G3:G12" si="1">B3/D3</f>
        <v>1.3985137095527371</v>
      </c>
      <c r="H3">
        <f t="shared" ref="H3:H12" si="2">B3/E3</f>
        <v>0.93069725453212848</v>
      </c>
      <c r="I3">
        <f t="shared" ref="I3:I12" si="3">AVERAGE(F3:H3)</f>
        <v>1.1426237340858239</v>
      </c>
      <c r="M3" t="s">
        <v>15</v>
      </c>
      <c r="N3" t="s">
        <v>17</v>
      </c>
      <c r="O3" t="s">
        <v>16</v>
      </c>
      <c r="P3" t="s">
        <v>18</v>
      </c>
    </row>
    <row r="4" spans="1:16" x14ac:dyDescent="0.4">
      <c r="A4" s="1" t="s">
        <v>6</v>
      </c>
      <c r="B4">
        <v>4.0124353340000001</v>
      </c>
      <c r="C4">
        <v>3.0477102870000001</v>
      </c>
      <c r="D4">
        <v>3.3872526500000002</v>
      </c>
      <c r="E4">
        <v>4.4071309049999998</v>
      </c>
      <c r="F4">
        <f t="shared" si="0"/>
        <v>1.3165409294692583</v>
      </c>
      <c r="G4">
        <f t="shared" si="1"/>
        <v>1.1845692508351864</v>
      </c>
      <c r="H4">
        <f t="shared" si="2"/>
        <v>0.91044160486537673</v>
      </c>
      <c r="I4">
        <f t="shared" si="3"/>
        <v>1.1371839283899405</v>
      </c>
      <c r="L4">
        <v>2</v>
      </c>
      <c r="M4">
        <f>AVERAGE(AVERAGE(I3,I9),AVERAGE(I2,I4:I8,I10:I12))</f>
        <v>1.0538479464508104</v>
      </c>
      <c r="N4">
        <f>100*ABS(M4-0.9946)/0.9946</f>
        <v>5.9569622411834224</v>
      </c>
      <c r="O4">
        <f>AVERAGE(AVERAGE(I7,I9),AVERAGE(I2,I3,I4,I5,I6,I8,I10,I11,I12))</f>
        <v>1.0002057144279868</v>
      </c>
      <c r="P4">
        <f>100*ABS(O4-0.9946)/0.9946</f>
        <v>0.5636149636021256</v>
      </c>
    </row>
    <row r="5" spans="1:16" x14ac:dyDescent="0.4">
      <c r="A5" s="1" t="s">
        <v>7</v>
      </c>
      <c r="B5">
        <v>0.64998266699999996</v>
      </c>
      <c r="C5">
        <v>0.74891912299999996</v>
      </c>
      <c r="D5">
        <v>0.63259091999999995</v>
      </c>
      <c r="E5">
        <v>0.69591242600000003</v>
      </c>
      <c r="F5">
        <f t="shared" si="0"/>
        <v>0.86789433870551602</v>
      </c>
      <c r="G5">
        <f t="shared" si="1"/>
        <v>1.0274928811814119</v>
      </c>
      <c r="H5">
        <f t="shared" si="2"/>
        <v>0.93400066260636061</v>
      </c>
      <c r="I5">
        <f t="shared" si="3"/>
        <v>0.94312929416442959</v>
      </c>
      <c r="L5">
        <v>3</v>
      </c>
      <c r="M5">
        <f>AVERAGE(I3,I9,AVERAGE(I4:I8,I10:I12,I2))</f>
        <v>1.0848825599469101</v>
      </c>
      <c r="N5">
        <f t="shared" ref="N5:N12" si="4">100*ABS(M5-0.9946)/0.9946</f>
        <v>9.0772732703508971</v>
      </c>
      <c r="O5">
        <f>AVERAGE(AVERAGE(I7,I9),AVERAGE(I2,I3,I4,I6),AVERAGE(I5,I8,I10,I11,I12))</f>
        <v>0.99708048778310587</v>
      </c>
      <c r="P5">
        <f t="shared" ref="P5:P12" si="5">100*ABS(O5-0.9946)/0.9946</f>
        <v>0.24939551408665128</v>
      </c>
    </row>
    <row r="6" spans="1:16" x14ac:dyDescent="0.4">
      <c r="A6" s="1" t="s">
        <v>8</v>
      </c>
      <c r="B6">
        <v>1.0495117810000001</v>
      </c>
      <c r="C6">
        <v>1.0683600900000001</v>
      </c>
      <c r="D6">
        <v>1.4574479680000001</v>
      </c>
      <c r="E6">
        <v>1.982276889</v>
      </c>
      <c r="F6">
        <f t="shared" si="0"/>
        <v>0.9823577189222783</v>
      </c>
      <c r="G6">
        <f t="shared" si="1"/>
        <v>0.72010240093867972</v>
      </c>
      <c r="H6">
        <f t="shared" si="2"/>
        <v>0.5294476199686956</v>
      </c>
      <c r="I6">
        <f t="shared" si="3"/>
        <v>0.7439692466098845</v>
      </c>
      <c r="L6">
        <v>4</v>
      </c>
      <c r="M6">
        <f>AVERAGE(I3,I9,I7,AVERAGE(I4:I6,I8,I10:I12,I2))</f>
        <v>1.0332866040771087</v>
      </c>
      <c r="N6">
        <f t="shared" si="4"/>
        <v>3.8896645965321399</v>
      </c>
      <c r="O6">
        <f>AVERAGE(AVERAGE(I7,I9),AVERAGE(I3,I6),AVERAGE(I2,I4),AVERAGE(I5,I8,I10,I11,I12))</f>
        <v>0.99495109897845613</v>
      </c>
      <c r="P6">
        <f t="shared" si="5"/>
        <v>3.5300520657157455E-2</v>
      </c>
    </row>
    <row r="7" spans="1:16" x14ac:dyDescent="0.4">
      <c r="A7" s="1" t="s">
        <v>9</v>
      </c>
      <c r="B7">
        <v>8.8832849449999998</v>
      </c>
      <c r="C7">
        <v>7.9657883170000003</v>
      </c>
      <c r="D7">
        <v>10.77573817</v>
      </c>
      <c r="E7">
        <v>13.445461283</v>
      </c>
      <c r="F7">
        <f t="shared" si="0"/>
        <v>1.1151796396650342</v>
      </c>
      <c r="G7">
        <f t="shared" si="1"/>
        <v>0.82437832145284939</v>
      </c>
      <c r="H7">
        <f t="shared" si="2"/>
        <v>0.6606902327874562</v>
      </c>
      <c r="I7">
        <f t="shared" si="3"/>
        <v>0.86674939796844663</v>
      </c>
      <c r="L7">
        <v>5</v>
      </c>
      <c r="M7">
        <f>AVERAGE(I3,I9,I7,I8,AVERAGE(I4:I6,I10:I12,I2))</f>
        <v>0.97922906705115265</v>
      </c>
      <c r="N7">
        <f t="shared" si="4"/>
        <v>1.5454386636685495</v>
      </c>
      <c r="O7">
        <f>AVERAGE(I7,I9,AVERAGE(I3,I6),AVERAGE(I2,I4),AVERAGE(I5,I8,I10,I11,I12))</f>
        <v>0.99776380295884903</v>
      </c>
      <c r="P7">
        <f t="shared" si="5"/>
        <v>0.31809802522109326</v>
      </c>
    </row>
    <row r="8" spans="1:16" x14ac:dyDescent="0.4">
      <c r="A8" s="1" t="s">
        <v>10</v>
      </c>
      <c r="B8">
        <v>2.3593202299999998</v>
      </c>
      <c r="C8">
        <v>3.5888560250000001</v>
      </c>
      <c r="D8">
        <v>2.8334080639999999</v>
      </c>
      <c r="E8">
        <v>3.3987719159999998</v>
      </c>
      <c r="F8">
        <f t="shared" si="0"/>
        <v>0.65740174962856013</v>
      </c>
      <c r="G8">
        <f t="shared" si="1"/>
        <v>0.83267929528981532</v>
      </c>
      <c r="H8">
        <f t="shared" si="2"/>
        <v>0.69416844916638998</v>
      </c>
      <c r="I8">
        <f t="shared" si="3"/>
        <v>0.72808316469492185</v>
      </c>
      <c r="L8">
        <v>6</v>
      </c>
      <c r="M8">
        <f>AVERAGE(I3,I9,I7,I8,AVERAGE(I4:I6,I10,I2),AVERAGE(I11:I12))</f>
        <v>0.99379426148939476</v>
      </c>
      <c r="N8">
        <f t="shared" si="4"/>
        <v>8.1011312146117093E-2</v>
      </c>
      <c r="O8">
        <f>AVERAGE(I7,I9,AVERAGE(I3,I6),AVERAGE(I2,I4),AVERAGE(I5,I8,I10,I11),I12)</f>
        <v>1.014365714943946</v>
      </c>
      <c r="P8">
        <f t="shared" si="5"/>
        <v>1.9873029302177725</v>
      </c>
    </row>
    <row r="9" spans="1:16" x14ac:dyDescent="0.4">
      <c r="A9" s="1" t="s">
        <v>11</v>
      </c>
      <c r="B9">
        <v>24.492543044000001</v>
      </c>
      <c r="C9">
        <v>23.321571180999999</v>
      </c>
      <c r="D9">
        <v>17.656799953</v>
      </c>
      <c r="E9">
        <v>24.095340311000001</v>
      </c>
      <c r="F9">
        <f t="shared" si="0"/>
        <v>1.0502098187944553</v>
      </c>
      <c r="G9">
        <f t="shared" si="1"/>
        <v>1.3871450721079595</v>
      </c>
      <c r="H9">
        <f t="shared" si="2"/>
        <v>1.0164846284747706</v>
      </c>
      <c r="I9">
        <f t="shared" si="3"/>
        <v>1.1512798397923951</v>
      </c>
      <c r="L9">
        <v>7</v>
      </c>
      <c r="M9">
        <f>AVERAGE(I3,I9,I7,I8,AVERAGE(I5,I10),AVERAGE(I2,I4,I6),AVERAGE(I11:I12))</f>
        <v>0.99229480943035753</v>
      </c>
      <c r="N9">
        <f t="shared" si="4"/>
        <v>0.2317706183030879</v>
      </c>
      <c r="O9">
        <f>AVERAGE(I7,I9,AVERAGE(I3,I6),AVERAGE(I2,I4),AVERAGE(I5,I8,I11),I10,I12)</f>
        <v>1.0184530238063192</v>
      </c>
      <c r="P9">
        <f t="shared" si="5"/>
        <v>2.3982529465432485</v>
      </c>
    </row>
    <row r="10" spans="1:16" x14ac:dyDescent="0.4">
      <c r="A10" s="1" t="s">
        <v>12</v>
      </c>
      <c r="B10">
        <v>9.6512670999999994E-2</v>
      </c>
      <c r="C10">
        <v>0.14950111899999999</v>
      </c>
      <c r="D10">
        <v>9.2925119E-2</v>
      </c>
      <c r="E10">
        <v>6.1450181999999999E-2</v>
      </c>
      <c r="F10">
        <f t="shared" si="0"/>
        <v>0.64556487366492554</v>
      </c>
      <c r="G10">
        <f t="shared" si="1"/>
        <v>1.0386069131641358</v>
      </c>
      <c r="H10">
        <f t="shared" si="2"/>
        <v>1.5705839732093876</v>
      </c>
      <c r="I10">
        <f t="shared" si="3"/>
        <v>1.084918586679483</v>
      </c>
      <c r="L10">
        <v>8</v>
      </c>
      <c r="M10">
        <f>AVERAGE(I3,I9,I7,I8,AVERAGE(I5,I10),AVERAGE(I2,I4,I6),I11,I12)</f>
        <v>1.0065197403755075</v>
      </c>
      <c r="N10">
        <f t="shared" si="4"/>
        <v>1.198445644028501</v>
      </c>
      <c r="O10">
        <f>AVERAGE(I7,I9,AVERAGE(I3,I6),I2,I4,AVERAGE(I5,I8,I11),I10,I12)</f>
        <v>1.0203750676781742</v>
      </c>
      <c r="P10">
        <f t="shared" si="5"/>
        <v>2.5915008725290738</v>
      </c>
    </row>
    <row r="11" spans="1:16" x14ac:dyDescent="0.4">
      <c r="A11" s="1" t="s">
        <v>13</v>
      </c>
      <c r="B11">
        <v>1.273656849</v>
      </c>
      <c r="C11">
        <v>1.130469728</v>
      </c>
      <c r="D11">
        <v>1.0421797859999999</v>
      </c>
      <c r="E11">
        <v>1.4279333869999999</v>
      </c>
      <c r="F11">
        <f t="shared" si="0"/>
        <v>1.1266616145956629</v>
      </c>
      <c r="G11">
        <f t="shared" si="1"/>
        <v>1.222108571006193</v>
      </c>
      <c r="H11">
        <f t="shared" si="2"/>
        <v>0.89195816877415723</v>
      </c>
      <c r="I11">
        <f t="shared" si="3"/>
        <v>1.0802427847920042</v>
      </c>
      <c r="L11">
        <v>9</v>
      </c>
      <c r="M11">
        <f>AVERAGE(I3,I9,I7,I8,AVERAGE(I5,I10),AVERAGE(I2,I6),I4,I11,I12)</f>
        <v>1.0099282836919701</v>
      </c>
      <c r="N11">
        <f t="shared" si="4"/>
        <v>1.5411505823416483</v>
      </c>
      <c r="O11">
        <f>AVERAGE(I7,I9,AVERAGE(I3,I6),I2,I4,AVERAGE(I5,I11),I8,I10,I12)</f>
        <v>0.9984019997460829</v>
      </c>
      <c r="P11">
        <f t="shared" si="5"/>
        <v>0.38226420129528077</v>
      </c>
    </row>
    <row r="12" spans="1:16" x14ac:dyDescent="0.4">
      <c r="A12" s="1" t="s">
        <v>14</v>
      </c>
      <c r="B12">
        <v>4.2695955190000001</v>
      </c>
      <c r="C12">
        <v>3.2709923339999998</v>
      </c>
      <c r="D12">
        <v>3.4649500089999998</v>
      </c>
      <c r="E12">
        <v>4.9743498730000004</v>
      </c>
      <c r="F12">
        <f t="shared" si="0"/>
        <v>1.3052905916715611</v>
      </c>
      <c r="G12">
        <f t="shared" si="1"/>
        <v>1.2322242768034117</v>
      </c>
      <c r="H12">
        <f t="shared" si="2"/>
        <v>0.85832231909836143</v>
      </c>
      <c r="I12">
        <f t="shared" si="3"/>
        <v>1.1319457291911112</v>
      </c>
      <c r="L12">
        <v>10</v>
      </c>
      <c r="M12">
        <f>AVERAGE(I3,I9,I7,I8,AVERAGE(I5,I10),I2,I6,I4,I11,I12)</f>
        <v>0.99265765871188627</v>
      </c>
      <c r="N12">
        <f t="shared" si="4"/>
        <v>0.19528868772509242</v>
      </c>
      <c r="O12">
        <f>AVERAGE(I7,I9,I3,I6,I2,I4,AVERAGE(I5,I11),I8,I10,I12)</f>
        <v>0.99289144880626012</v>
      </c>
      <c r="P12">
        <f t="shared" si="5"/>
        <v>0.17178274620349041</v>
      </c>
    </row>
    <row r="13" spans="1:16" x14ac:dyDescent="0.4">
      <c r="I13">
        <f>AVERAGE(I2:I12)</f>
        <v>0.99460004795825629</v>
      </c>
    </row>
    <row r="14" spans="1:16" x14ac:dyDescent="0.4">
      <c r="N14">
        <f>AVERAGE(N4:N12)</f>
        <v>2.6352228462532725</v>
      </c>
      <c r="P14">
        <f>AVERAGE(P4:P12)</f>
        <v>0.96639030226176592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宇廷 鄭</cp:lastModifiedBy>
  <dcterms:created xsi:type="dcterms:W3CDTF">2026-04-23T19:36:29Z</dcterms:created>
  <dcterms:modified xsi:type="dcterms:W3CDTF">2026-04-28T08:41:54Z</dcterms:modified>
</cp:coreProperties>
</file>