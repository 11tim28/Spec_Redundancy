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CBC84970-191B-4761-A281-36AD629497D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1" l="1"/>
  <c r="N12" i="1"/>
  <c r="I3" i="1"/>
  <c r="M10" i="1" s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O4" i="1"/>
  <c r="P4" i="1" s="1"/>
  <c r="I13" i="1"/>
  <c r="I4" i="1"/>
  <c r="I5" i="1"/>
  <c r="I6" i="1"/>
  <c r="I7" i="1"/>
  <c r="I8" i="1"/>
  <c r="I9" i="1"/>
  <c r="I10" i="1"/>
  <c r="I11" i="1"/>
  <c r="I2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<sst xmlns="http://schemas.openxmlformats.org/spreadsheetml/2006/main" count="18" uniqueCount="18">
  <si>
    <t>vm-small</t>
  </si>
  <si>
    <t>dev</t>
  </si>
  <si>
    <t>spr</t>
  </si>
  <si>
    <t>skx-dev</t>
  </si>
  <si>
    <t>500</t>
  </si>
  <si>
    <t>502</t>
  </si>
  <si>
    <t>505</t>
  </si>
  <si>
    <t>520</t>
  </si>
  <si>
    <t>523</t>
  </si>
  <si>
    <t>525</t>
  </si>
  <si>
    <t>531</t>
  </si>
  <si>
    <t>541</t>
  </si>
  <si>
    <t>548</t>
  </si>
  <si>
    <t>557</t>
  </si>
  <si>
    <t>Perf</t>
    <phoneticPr fontId="2" type="noConversion"/>
  </si>
  <si>
    <t>Pin</t>
    <phoneticPr fontId="2" type="noConversion"/>
  </si>
  <si>
    <t>Perf error %</t>
    <phoneticPr fontId="2" type="noConversion"/>
  </si>
  <si>
    <t>Pin error 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</si>
</sst>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2017 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Sheet1!$L$4:$L$10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Sheet1!$N$4:$N$10</c:f>
              <c:numCache>
                <c:formatCode>General</c:formatCode>
                <c:ptCount val="7"/>
                <c:pt idx="0">
                  <c:v>70.271306058448644</c:v>
                </c:pt>
                <c:pt idx="1">
                  <c:v>71.402330343620818</c:v>
                </c:pt>
                <c:pt idx="2">
                  <c:v>70.005508247212802</c:v>
                </c:pt>
                <c:pt idx="3">
                  <c:v>69.69279961658259</c:v>
                </c:pt>
                <c:pt idx="4">
                  <c:v>68.688791816082357</c:v>
                </c:pt>
                <c:pt idx="5">
                  <c:v>69.240151895940869</c:v>
                </c:pt>
                <c:pt idx="6">
                  <c:v>69.186515284800663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5-43EE-936E-A95ADD2E8908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Sheet1!$L$4:$L$10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Sheet1!$P$4:$P$10</c:f>
              <c:numCache>
                <c:formatCode>General</c:formatCode>
                <c:ptCount val="7"/>
                <c:pt idx="0">
                  <c:v>70.271306058448644</c:v>
                </c:pt>
                <c:pt idx="1">
                  <c:v>69.759121843709181</c:v>
                </c:pt>
                <c:pt idx="2">
                  <c:v>68.072091567570553</c:v>
                </c:pt>
                <c:pt idx="3">
                  <c:v>66.906518248650855</c:v>
                </c:pt>
                <c:pt idx="4">
                  <c:v>67.722029887798172</c:v>
                </c:pt>
                <c:pt idx="5">
                  <c:v>68.346662475565978</c:v>
                </c:pt>
                <c:pt idx="6">
                  <c:v>68.643283737271631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25-43EE-936E-A95ADD2E8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8560976"/>
        <c:axId val="2028561456"/>
      </c:barChart>
      <c:catAx>
        <c:axId val="202856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28561456"/>
        <c:crosses val="autoZero"/>
        <c:auto val="1"/>
        <c:lblAlgn val="ctr"/>
        <c:lblOffset val="100"/>
        <c:noMultiLvlLbl val="0"/>
      </c:catAx>
      <c:valAx>
        <c:axId val="202856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2856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495299</xdr:colOff>
      <xdr:row>15</xdr:row>
      <xdr:rowOff>65314</xdr:rowOff>
    </xdr:from>
    <xdr:to>
      <xdr:col>18</xdr:col>
      <xdr:colOff>538841</xdr:colOff>
      <xdr:row>29</xdr:row>
      <xdr:rowOff>65314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C8BA30-5437-D866-2A26-16215BFD4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tabSelected="1" workbookViewId="0">
      <selection activeCell="V7" sqref="V7"/>
    </sheetView>
  </sheetViews>
  <sheetFormatPr defaultRowHeight="15.45" x14ac:dyDescent="0.4"/>
  <sheetData>
    <row r="1" spans="1:16" x14ac:dyDescent="0.4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4">
      <c r="A2" s="1" t="s">
        <v>4</v>
      </c>
      <c r="B2">
        <v>0.30236364500000001</v>
      </c>
      <c r="C2">
        <v>0.44022423399999999</v>
      </c>
      <c r="D2">
        <v>0.24422782500000001</v>
      </c>
      <c r="E2">
        <v>0.31592177799999999</v>
      </c>
      <c r="F2">
        <f>B2/C2</f>
        <v>0.68684007296154448</v>
      </c>
      <c r="G2">
        <f>B2/D2</f>
        <v>1.2380392979383081</v>
      </c>
      <c r="H2">
        <f>B2/E2</f>
        <v>0.95708389245644221</v>
      </c>
      <c r="I2">
        <f>AVERAGE(F2:H2)</f>
        <v>0.96065442111876498</v>
      </c>
    </row>
    <row r="3" spans="1:16" x14ac:dyDescent="0.4">
      <c r="A3" s="1" t="s">
        <v>5</v>
      </c>
      <c r="B3">
        <v>0.04</v>
      </c>
      <c r="C3">
        <v>0.02</v>
      </c>
      <c r="D3">
        <v>9.4179032999999995E-2</v>
      </c>
      <c r="E3">
        <v>0.112996388</v>
      </c>
      <c r="F3">
        <f t="shared" ref="F3:F11" si="0">B3/C3</f>
        <v>2</v>
      </c>
      <c r="G3" s="2">
        <f t="shared" ref="G3:G11" si="1">B3/D3</f>
        <v>0.42472298478579623</v>
      </c>
      <c r="H3" s="2">
        <f t="shared" ref="H3:H11" si="2">B3/E3</f>
        <v>0.35399361614992508</v>
      </c>
      <c r="I3">
        <f>AVERAGE(F3:H3)</f>
        <v>0.92623886697857361</v>
      </c>
      <c r="M3" t="s">
        <v>14</v>
      </c>
      <c r="N3" t="s">
        <v>16</v>
      </c>
      <c r="O3" t="s">
        <v>15</v>
      </c>
      <c r="P3" t="s">
        <v>17</v>
      </c>
    </row>
    <row r="4" spans="1:16" x14ac:dyDescent="0.4">
      <c r="A4" s="1" t="s">
        <v>6</v>
      </c>
      <c r="B4">
        <v>9.1091337019999994</v>
      </c>
      <c r="C4">
        <v>7.33947211</v>
      </c>
      <c r="D4">
        <v>9.0929232290000002</v>
      </c>
      <c r="E4">
        <v>10.654772187000001</v>
      </c>
      <c r="F4">
        <f t="shared" si="0"/>
        <v>1.2411156504823886</v>
      </c>
      <c r="G4">
        <f t="shared" si="1"/>
        <v>1.0017827570509228</v>
      </c>
      <c r="H4">
        <f t="shared" si="2"/>
        <v>0.85493462855209135</v>
      </c>
      <c r="I4">
        <f t="shared" ref="I4:I11" si="3">AVERAGE(F4:H4)</f>
        <v>1.0326110120284675</v>
      </c>
      <c r="L4">
        <v>2</v>
      </c>
      <c r="M4">
        <f>AVERAGE(I7,AVERAGE(I2:I6,I8:I11))</f>
        <v>1.0361353590926474</v>
      </c>
      <c r="N4">
        <f>100*ABS(M4-3.485304)/3.485304</f>
        <v>70.271306058448644</v>
      </c>
      <c r="O4">
        <f>AVERAGE(I7,AVERAGE(I2:I6,I8:I11))</f>
        <v>1.0361353590926474</v>
      </c>
      <c r="P4">
        <f>100*ABS(O4-3.485304)/3.485304</f>
        <v>70.271306058448644</v>
      </c>
    </row>
    <row r="5" spans="1:16" x14ac:dyDescent="0.4">
      <c r="A5" s="1" t="s">
        <v>7</v>
      </c>
      <c r="B5">
        <v>2.948934248</v>
      </c>
      <c r="C5">
        <v>2.8200047339999998</v>
      </c>
      <c r="D5">
        <v>2.4576687960000001</v>
      </c>
      <c r="E5">
        <v>3.0926901299999998</v>
      </c>
      <c r="F5">
        <f t="shared" si="0"/>
        <v>1.0457196090650251</v>
      </c>
      <c r="G5">
        <f t="shared" si="1"/>
        <v>1.1998908285768868</v>
      </c>
      <c r="H5">
        <f t="shared" si="2"/>
        <v>0.95351752812041346</v>
      </c>
      <c r="I5">
        <f t="shared" si="3"/>
        <v>1.0663759885874418</v>
      </c>
      <c r="L5">
        <v>3</v>
      </c>
      <c r="M5">
        <f>AVERAGE(I7,I4,AVERAGE(I2,I3,I5:I6,I8:I11,))</f>
        <v>0.99671572444057011</v>
      </c>
      <c r="N5">
        <f t="shared" ref="N5:N10" si="4">100*ABS(M5-3.485304)/3.485304</f>
        <v>71.402330343620818</v>
      </c>
      <c r="O5">
        <f>AVERAGE(I7,AVERAGE(I8:I11),AVERAGE(I2:I6))</f>
        <v>1.0539865360163301</v>
      </c>
      <c r="P5">
        <f t="shared" ref="P5:P10" si="5">100*ABS(O5-3.485304)/3.485304</f>
        <v>69.759121843709181</v>
      </c>
    </row>
    <row r="6" spans="1:16" x14ac:dyDescent="0.4">
      <c r="A6" s="1" t="s">
        <v>8</v>
      </c>
      <c r="B6">
        <v>1.935804106</v>
      </c>
      <c r="C6">
        <v>1.944482874</v>
      </c>
      <c r="D6">
        <v>1.33170626</v>
      </c>
      <c r="E6">
        <v>1.1818779239999999</v>
      </c>
      <c r="F6">
        <f t="shared" si="0"/>
        <v>0.99553672181120989</v>
      </c>
      <c r="G6">
        <f t="shared" si="1"/>
        <v>1.4536269477324526</v>
      </c>
      <c r="H6">
        <f t="shared" si="2"/>
        <v>1.6379052918159085</v>
      </c>
      <c r="I6">
        <f t="shared" si="3"/>
        <v>1.3623563204531903</v>
      </c>
      <c r="L6">
        <v>4</v>
      </c>
      <c r="M6">
        <f>AVERAGE(I7,I4,I5,AVERAGE(I2,I3,I6,I8:I11))</f>
        <v>1.0453992208395624</v>
      </c>
      <c r="N6">
        <f t="shared" si="4"/>
        <v>70.005508247212802</v>
      </c>
      <c r="O6">
        <f>AVERAGE(I7,AVERAGE(I8:I11),AVERAGE(I2:I5),I6)</f>
        <v>1.1127846697118011</v>
      </c>
      <c r="P6">
        <f t="shared" si="5"/>
        <v>68.072091567570553</v>
      </c>
    </row>
    <row r="7" spans="1:16" x14ac:dyDescent="0.4">
      <c r="A7" s="1" t="s">
        <v>9</v>
      </c>
      <c r="B7">
        <v>40.715774148999998</v>
      </c>
      <c r="C7">
        <v>35.644522721000001</v>
      </c>
      <c r="D7">
        <v>40.69272849</v>
      </c>
      <c r="E7">
        <v>49.839909493999997</v>
      </c>
      <c r="F7">
        <f t="shared" si="0"/>
        <v>1.1422729508175533</v>
      </c>
      <c r="G7">
        <f t="shared" si="1"/>
        <v>1.0005663335896895</v>
      </c>
      <c r="H7">
        <f t="shared" si="2"/>
        <v>0.81693114137580014</v>
      </c>
      <c r="I7">
        <f t="shared" si="3"/>
        <v>0.98659014192768113</v>
      </c>
      <c r="L7">
        <v>5</v>
      </c>
      <c r="M7">
        <f>AVERAGE(I7,I4,I5,AVERAGE(I8:I10),AVERAGE(I2:I3,I6,I11))</f>
        <v>1.0562980672512627</v>
      </c>
      <c r="N7">
        <f t="shared" si="4"/>
        <v>69.69279961658259</v>
      </c>
      <c r="O7">
        <f>AVERAGE(I7,I10,I6,AVERAGE(I8,I9,I11),AVERAGE(I2:I5))</f>
        <v>1.1534084432190415</v>
      </c>
      <c r="P7">
        <f t="shared" si="5"/>
        <v>66.906518248650855</v>
      </c>
    </row>
    <row r="8" spans="1:16" x14ac:dyDescent="0.4">
      <c r="A8" s="1" t="s">
        <v>10</v>
      </c>
      <c r="B8">
        <v>5.6902689970000004</v>
      </c>
      <c r="C8">
        <v>5.1661817069999998</v>
      </c>
      <c r="D8">
        <v>6.0570929500000004</v>
      </c>
      <c r="E8">
        <v>7.0735979120000003</v>
      </c>
      <c r="F8">
        <f t="shared" si="0"/>
        <v>1.1014457716982506</v>
      </c>
      <c r="G8">
        <f t="shared" si="1"/>
        <v>0.93943894273572282</v>
      </c>
      <c r="H8">
        <f t="shared" si="2"/>
        <v>0.8044377228944195</v>
      </c>
      <c r="I8">
        <f t="shared" si="3"/>
        <v>0.94844081244279765</v>
      </c>
      <c r="L8">
        <v>6</v>
      </c>
      <c r="M8">
        <f>AVERAGE(I7,I4,I5,AVERAGE(I8:I9),I10,AVERAGE(I2:I3,I6,I11))</f>
        <v>1.0912907912824088</v>
      </c>
      <c r="N8">
        <f t="shared" si="4"/>
        <v>68.688791816082357</v>
      </c>
      <c r="O8">
        <f>AVERAGE(I7,I10,I9,AVERAGE(I8,I11),I6,AVERAGE(I2:I5))</f>
        <v>1.1249853834393753</v>
      </c>
      <c r="P8">
        <f t="shared" si="5"/>
        <v>67.722029887798172</v>
      </c>
    </row>
    <row r="9" spans="1:16" x14ac:dyDescent="0.4">
      <c r="A9" s="1" t="s">
        <v>11</v>
      </c>
      <c r="B9">
        <v>4.8322417900000003</v>
      </c>
      <c r="C9">
        <v>4.0323208289999997</v>
      </c>
      <c r="D9">
        <v>5.3021762079999997</v>
      </c>
      <c r="E9">
        <v>6.1511824329999998</v>
      </c>
      <c r="F9">
        <f t="shared" si="0"/>
        <v>1.1983773104677233</v>
      </c>
      <c r="G9">
        <f t="shared" si="1"/>
        <v>0.91136952082223233</v>
      </c>
      <c r="H9">
        <f t="shared" si="2"/>
        <v>0.78557933253221079</v>
      </c>
      <c r="I9">
        <f t="shared" si="3"/>
        <v>0.96510872127405545</v>
      </c>
      <c r="L9">
        <v>7</v>
      </c>
      <c r="M9">
        <f>AVERAGE(I7,I4,I5,I8,I9,I10,AVERAGE(I2:I3,I6,I11))</f>
        <v>1.072074216364697</v>
      </c>
      <c r="N9">
        <f t="shared" si="4"/>
        <v>69.240151895940869</v>
      </c>
      <c r="O9">
        <f>AVERAGE(I7,I10,I6,I2,AVERAGE(I8,I11),I9,AVERAGE(I3:I5))</f>
        <v>1.1032150388725996</v>
      </c>
      <c r="P9">
        <f t="shared" si="5"/>
        <v>68.346662475565978</v>
      </c>
    </row>
    <row r="10" spans="1:16" x14ac:dyDescent="0.4">
      <c r="A10" s="1" t="s">
        <v>12</v>
      </c>
      <c r="B10">
        <v>8.7149372899999999</v>
      </c>
      <c r="C10">
        <v>5.7886330790000002</v>
      </c>
      <c r="D10">
        <v>5.5437103570000001</v>
      </c>
      <c r="E10">
        <v>7.3517950900000004</v>
      </c>
      <c r="F10">
        <f t="shared" si="0"/>
        <v>1.505525945601224</v>
      </c>
      <c r="G10">
        <f t="shared" si="1"/>
        <v>1.5720405159688251</v>
      </c>
      <c r="H10">
        <f t="shared" si="2"/>
        <v>1.1854162396139363</v>
      </c>
      <c r="I10">
        <f t="shared" si="3"/>
        <v>1.4209942337279948</v>
      </c>
      <c r="L10">
        <v>8</v>
      </c>
      <c r="M10">
        <f>AVERAGE(I7,I4,I5,I8,I9,I10,AVERAGE(I2:I3,I6),I11)</f>
        <v>1.0739436153182313</v>
      </c>
      <c r="N10">
        <f t="shared" si="4"/>
        <v>69.186515284800663</v>
      </c>
      <c r="O10">
        <f>AVERAGE(I7,I10,I9,I6,I2,I4,AVERAGE(I3,I5),AVERAGE(I8,I11))</f>
        <v>1.0928768861735223</v>
      </c>
      <c r="P10">
        <f t="shared" si="5"/>
        <v>68.643283737271631</v>
      </c>
    </row>
    <row r="11" spans="1:16" x14ac:dyDescent="0.4">
      <c r="A11" s="1" t="s">
        <v>13</v>
      </c>
      <c r="B11">
        <v>0.66925713600000003</v>
      </c>
      <c r="C11">
        <v>0.51526202899999995</v>
      </c>
      <c r="D11">
        <v>0.63621192999999998</v>
      </c>
      <c r="E11">
        <v>0.73204756199999999</v>
      </c>
      <c r="F11">
        <f t="shared" si="0"/>
        <v>1.298867563167555</v>
      </c>
      <c r="G11">
        <f t="shared" si="1"/>
        <v>1.0519405632648229</v>
      </c>
      <c r="H11">
        <f t="shared" si="2"/>
        <v>0.91422630268933269</v>
      </c>
      <c r="I11">
        <f t="shared" si="3"/>
        <v>1.0883448097072368</v>
      </c>
    </row>
    <row r="12" spans="1:16" x14ac:dyDescent="0.4">
      <c r="N12">
        <f>AVERAGE(N4:N10)</f>
        <v>69.783914751812674</v>
      </c>
      <c r="P12">
        <f>AVERAGE(P4:P10)</f>
        <v>68.531573402716432</v>
      </c>
    </row>
    <row r="13" spans="1:16" x14ac:dyDescent="0.4">
      <c r="I13">
        <f>AVERAGE(I2:I11)</f>
        <v>1.0757715328246207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2026-04-23T19:36:15Z</dcterms:created>
  <dcterms:modified xsi:type="dcterms:W3CDTF">2026-04-28T08:21:54Z</dcterms:modified>
</cp:coreProperties>
</file>