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Texas\26S\Perf\project\Perf\speedup\"/>
    </mc:Choice>
  </mc:AlternateContent>
  <xr:revisionPtr revIDLastSave="0" documentId="13_ncr:1_{8E5827E9-4AE1-4766-A4A9-6003DCE7E909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Sheet1" sheetId="1" r:id="rId1"/>
    <sheet name="re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2" l="1"/>
  <c r="N11" i="2"/>
  <c r="H10" i="2"/>
  <c r="G10" i="2"/>
  <c r="F10" i="2"/>
  <c r="I10" i="2" s="1"/>
  <c r="H9" i="2"/>
  <c r="G9" i="2"/>
  <c r="F9" i="2"/>
  <c r="I9" i="2" s="1"/>
  <c r="H8" i="2"/>
  <c r="G8" i="2"/>
  <c r="F8" i="2"/>
  <c r="I8" i="2" s="1"/>
  <c r="H7" i="2"/>
  <c r="G7" i="2"/>
  <c r="F7" i="2"/>
  <c r="I7" i="2" s="1"/>
  <c r="H6" i="2"/>
  <c r="G6" i="2"/>
  <c r="F6" i="2"/>
  <c r="I6" i="2" s="1"/>
  <c r="H5" i="2"/>
  <c r="G5" i="2"/>
  <c r="F5" i="2"/>
  <c r="I5" i="2" s="1"/>
  <c r="H4" i="2"/>
  <c r="G4" i="2"/>
  <c r="F4" i="2"/>
  <c r="I4" i="2" s="1"/>
  <c r="H3" i="2"/>
  <c r="G3" i="2"/>
  <c r="F3" i="2"/>
  <c r="I3" i="2" s="1"/>
  <c r="H2" i="2"/>
  <c r="G2" i="2"/>
  <c r="F2" i="2"/>
  <c r="I2" i="2" s="1"/>
  <c r="P4" i="1"/>
  <c r="P5" i="1"/>
  <c r="P6" i="1"/>
  <c r="P7" i="1"/>
  <c r="P8" i="1"/>
  <c r="P9" i="1"/>
  <c r="P3" i="1"/>
  <c r="N4" i="1"/>
  <c r="N5" i="1"/>
  <c r="N6" i="1"/>
  <c r="N7" i="1"/>
  <c r="N8" i="1"/>
  <c r="N9" i="1"/>
  <c r="N3" i="1"/>
  <c r="O9" i="1"/>
  <c r="O8" i="1"/>
  <c r="O7" i="1"/>
  <c r="O6" i="1"/>
  <c r="O5" i="1"/>
  <c r="O4" i="1"/>
  <c r="O3" i="1"/>
  <c r="M9" i="1"/>
  <c r="M8" i="1"/>
  <c r="M7" i="1"/>
  <c r="M6" i="1"/>
  <c r="M5" i="1"/>
  <c r="M4" i="1"/>
  <c r="M3" i="1"/>
  <c r="H10" i="1"/>
  <c r="G10" i="1"/>
  <c r="F10" i="1"/>
  <c r="I10" i="1" s="1"/>
  <c r="I9" i="1"/>
  <c r="H9" i="1"/>
  <c r="G9" i="1"/>
  <c r="F9" i="1"/>
  <c r="H8" i="1"/>
  <c r="I8" i="1" s="1"/>
  <c r="G8" i="1"/>
  <c r="F8" i="1"/>
  <c r="H7" i="1"/>
  <c r="G7" i="1"/>
  <c r="F7" i="1"/>
  <c r="I7" i="1" s="1"/>
  <c r="I6" i="1"/>
  <c r="H6" i="1"/>
  <c r="G6" i="1"/>
  <c r="F6" i="1"/>
  <c r="H5" i="1"/>
  <c r="G5" i="1"/>
  <c r="F5" i="1"/>
  <c r="I5" i="1" s="1"/>
  <c r="I4" i="1"/>
  <c r="H4" i="1"/>
  <c r="G4" i="1"/>
  <c r="F4" i="1"/>
  <c r="H3" i="1"/>
  <c r="G3" i="1"/>
  <c r="F3" i="1"/>
  <c r="I3" i="1" s="1"/>
  <c r="H2" i="1"/>
  <c r="G2" i="1"/>
  <c r="F2" i="1"/>
  <c r="I2" i="1" s="1"/>
  <c r="M3" i="2" l="1"/>
  <c r="N3" i="2" s="1"/>
  <c r="O8" i="2"/>
  <c r="P8" i="2" s="1"/>
  <c r="O7" i="2"/>
  <c r="P7" i="2" s="1"/>
  <c r="M8" i="2"/>
  <c r="N8" i="2" s="1"/>
  <c r="M9" i="2"/>
  <c r="N9" i="2" s="1"/>
  <c r="O9" i="2"/>
  <c r="P9" i="2" s="1"/>
  <c r="I13" i="2"/>
  <c r="M7" i="2"/>
  <c r="N7" i="2" s="1"/>
  <c r="M6" i="2"/>
  <c r="N6" i="2" s="1"/>
  <c r="O5" i="2"/>
  <c r="P5" i="2" s="1"/>
  <c r="M5" i="2"/>
  <c r="N5" i="2" s="1"/>
  <c r="O4" i="2"/>
  <c r="P4" i="2" s="1"/>
  <c r="M4" i="2"/>
  <c r="N4" i="2" s="1"/>
  <c r="O3" i="2"/>
  <c r="P3" i="2" s="1"/>
  <c r="O6" i="2"/>
  <c r="P6" i="2" s="1"/>
  <c r="I13" i="1"/>
</calcChain>
</file>

<file path=xl/sharedStrings.xml><?xml version="1.0" encoding="utf-8"?>
<sst xmlns="http://schemas.openxmlformats.org/spreadsheetml/2006/main" count="34" uniqueCount="17">
  <si>
    <t>vm-small</t>
  </si>
  <si>
    <t>dev</t>
  </si>
  <si>
    <t>spr</t>
  </si>
  <si>
    <t>skx-dev</t>
  </si>
  <si>
    <t>401</t>
  </si>
  <si>
    <t>403</t>
  </si>
  <si>
    <t>429</t>
  </si>
  <si>
    <t>445</t>
  </si>
  <si>
    <t>456</t>
  </si>
  <si>
    <t>458</t>
  </si>
  <si>
    <t>464</t>
  </si>
  <si>
    <t>471</t>
  </si>
  <si>
    <t>473</t>
  </si>
  <si>
    <t>Perf</t>
    <phoneticPr fontId="2" type="noConversion"/>
  </si>
  <si>
    <t>Perf error %</t>
    <phoneticPr fontId="2" type="noConversion"/>
  </si>
  <si>
    <t>Pin</t>
    <phoneticPr fontId="2" type="noConversion"/>
  </si>
  <si>
    <t>Pin error 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</si>
</sst>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2006 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Perf 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Sheet1!$L$3:$L$9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Sheet1!$N$3:$N$9</c:f>
              <c:numCache>
                <c:formatCode>General</c:formatCode>
                <c:ptCount val="7"/>
                <c:pt idx="0">
                  <c:v>15.590255750986861</c:v>
                </c:pt>
                <c:pt idx="1">
                  <c:v>24.944407403665572</c:v>
                </c:pt>
                <c:pt idx="2">
                  <c:v>24.691387024996367</c:v>
                </c:pt>
                <c:pt idx="3">
                  <c:v>29.393511477266582</c:v>
                </c:pt>
                <c:pt idx="4">
                  <c:v>29.139466072671986</c:v>
                </c:pt>
                <c:pt idx="5">
                  <c:v>24.964754356469545</c:v>
                </c:pt>
                <c:pt idx="6">
                  <c:v>18.943144207289333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A-4DEC-9249-DAA5CBCE92CD}"/>
            </c:ext>
          </c:extLst>
        </c:ser>
        <c:ser>
          <c:idx val="1"/>
          <c:order val="1"/>
          <c:tx>
            <c:strRef>
              <c:f>Sheet1!$P$2</c:f>
              <c:strCache>
                <c:ptCount val="1"/>
                <c:pt idx="0">
                  <c:v>Pin error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Sheet1!$L$3:$L$9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Sheet1!$P$3:$P$9</c:f>
              <c:numCache>
                <c:formatCode>General</c:formatCode>
                <c:ptCount val="7"/>
                <c:pt idx="0">
                  <c:v>20.224687057439422</c:v>
                </c:pt>
                <c:pt idx="1">
                  <c:v>36.983699544440341</c:v>
                </c:pt>
                <c:pt idx="2">
                  <c:v>18.433869670257518</c:v>
                </c:pt>
                <c:pt idx="3">
                  <c:v>11.797675510216781</c:v>
                </c:pt>
                <c:pt idx="4">
                  <c:v>1.6639202313760029</c:v>
                </c:pt>
                <c:pt idx="5">
                  <c:v>11.892551531535098</c:v>
                </c:pt>
                <c:pt idx="6">
                  <c:v>4.3807314292997859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2A-4DEC-9249-DAA5CBCE9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894240"/>
        <c:axId val="328895200"/>
      </c:barChart>
      <c:catAx>
        <c:axId val="32889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28895200"/>
        <c:crosses val="autoZero"/>
        <c:auto val="1"/>
        <c:lblAlgn val="ctr"/>
        <c:lblOffset val="100"/>
        <c:noMultiLvlLbl val="0"/>
      </c:catAx>
      <c:valAx>
        <c:axId val="32889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2889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2006 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Perf 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Sheet1!$L$3:$L$9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Sheet1!$N$3:$N$9</c:f>
              <c:numCache>
                <c:formatCode>General</c:formatCode>
                <c:ptCount val="7"/>
                <c:pt idx="0">
                  <c:v>15.590255750986861</c:v>
                </c:pt>
                <c:pt idx="1">
                  <c:v>24.944407403665572</c:v>
                </c:pt>
                <c:pt idx="2">
                  <c:v>24.691387024996367</c:v>
                </c:pt>
                <c:pt idx="3">
                  <c:v>29.393511477266582</c:v>
                </c:pt>
                <c:pt idx="4">
                  <c:v>29.139466072671986</c:v>
                </c:pt>
                <c:pt idx="5">
                  <c:v>24.964754356469545</c:v>
                </c:pt>
                <c:pt idx="6">
                  <c:v>18.943144207289333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F-4441-BD25-34A26B2382EA}"/>
            </c:ext>
          </c:extLst>
        </c:ser>
        <c:ser>
          <c:idx val="1"/>
          <c:order val="1"/>
          <c:tx>
            <c:strRef>
              <c:f>Sheet1!$P$2</c:f>
              <c:strCache>
                <c:ptCount val="1"/>
                <c:pt idx="0">
                  <c:v>Pin error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Sheet1!$L$3:$L$9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Sheet1!$P$3:$P$9</c:f>
              <c:numCache>
                <c:formatCode>General</c:formatCode>
                <c:ptCount val="7"/>
                <c:pt idx="0">
                  <c:v>20.224687057439422</c:v>
                </c:pt>
                <c:pt idx="1">
                  <c:v>36.983699544440341</c:v>
                </c:pt>
                <c:pt idx="2">
                  <c:v>18.433869670257518</c:v>
                </c:pt>
                <c:pt idx="3">
                  <c:v>11.797675510216781</c:v>
                </c:pt>
                <c:pt idx="4">
                  <c:v>1.6639202313760029</c:v>
                </c:pt>
                <c:pt idx="5">
                  <c:v>11.892551531535098</c:v>
                </c:pt>
                <c:pt idx="6">
                  <c:v>4.3807314292997859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2F-4441-BD25-34A26B238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894240"/>
        <c:axId val="328895200"/>
      </c:barChart>
      <c:catAx>
        <c:axId val="32889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28895200"/>
        <c:crosses val="autoZero"/>
        <c:auto val="1"/>
        <c:lblAlgn val="ctr"/>
        <c:lblOffset val="100"/>
        <c:noMultiLvlLbl val="0"/>
      </c:catAx>
      <c:valAx>
        <c:axId val="32889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2889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119743</xdr:colOff>
      <xdr:row>11</xdr:row>
      <xdr:rowOff>38101</xdr:rowOff>
    </xdr:from>
    <xdr:to>
      <xdr:col>18</xdr:col>
      <xdr:colOff>163285</xdr:colOff>
      <xdr:row>25</xdr:row>
      <xdr:rowOff>38101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5F7E63-53AD-5284-2E50-27FAAF1B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92529</xdr:colOff>
      <xdr:row>13</xdr:row>
      <xdr:rowOff>21772</xdr:rowOff>
    </xdr:from>
    <xdr:to>
      <xdr:col>18</xdr:col>
      <xdr:colOff>136071</xdr:colOff>
      <xdr:row>27</xdr:row>
      <xdr:rowOff>21772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EA857D-F518-4BCA-9065-688C70CD0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workbookViewId="0">
      <selection sqref="A1:XFD1048576"/>
    </sheetView>
  </sheetViews>
  <sheetFormatPr defaultRowHeight="15.45" x14ac:dyDescent="0.4"/>
  <sheetData>
    <row r="1" spans="1:16" x14ac:dyDescent="0.4">
      <c r="B1" s="1" t="s">
        <v>0</v>
      </c>
      <c r="C1" s="1" t="s">
        <v>1</v>
      </c>
      <c r="D1" s="1" t="s">
        <v>2</v>
      </c>
      <c r="E1" s="1" t="s">
        <v>3</v>
      </c>
    </row>
    <row r="2" spans="1:16" x14ac:dyDescent="0.4">
      <c r="A2" s="1" t="s">
        <v>4</v>
      </c>
      <c r="B2">
        <v>2.2629353449999998</v>
      </c>
      <c r="C2">
        <v>1.591028036</v>
      </c>
      <c r="D2">
        <v>1.7146564259999999</v>
      </c>
      <c r="E2">
        <v>1.9125389429999999</v>
      </c>
      <c r="F2">
        <f>B2/C2</f>
        <v>1.4223101628612658</v>
      </c>
      <c r="G2">
        <f>B2/D2</f>
        <v>1.3197602217483539</v>
      </c>
      <c r="H2">
        <f>B2/E2</f>
        <v>1.1832100743791234</v>
      </c>
      <c r="I2">
        <f>AVERAGE(F2:H2)</f>
        <v>1.3084268196629143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4">
      <c r="A3" s="1" t="s">
        <v>5</v>
      </c>
      <c r="B3">
        <v>0.87665879700000005</v>
      </c>
      <c r="C3">
        <v>0.72517254499999995</v>
      </c>
      <c r="D3">
        <v>0.78538943699999997</v>
      </c>
      <c r="E3">
        <v>0.93950259000000003</v>
      </c>
      <c r="F3">
        <f t="shared" ref="F3:F10" si="0">B3/C3</f>
        <v>1.2088968384758694</v>
      </c>
      <c r="G3">
        <f t="shared" ref="G3:G10" si="1">B3/D3</f>
        <v>1.1162090495495167</v>
      </c>
      <c r="H3">
        <f t="shared" ref="H3:H10" si="2">B3/E3</f>
        <v>0.93310950531812797</v>
      </c>
      <c r="I3">
        <f t="shared" ref="I3:I10" si="3">AVERAGE(F3:H3)</f>
        <v>1.0860717977811714</v>
      </c>
      <c r="L3">
        <v>2</v>
      </c>
      <c r="M3">
        <f>AVERAGE(AVERAGE(I3,I8),AVERAGE(I2,I4,I5,I6,I7,I9,I10))</f>
        <v>1.5558598202389875</v>
      </c>
      <c r="N3">
        <f>100*ABS(M3-1.843223)/1.843223</f>
        <v>15.590255750986861</v>
      </c>
      <c r="O3">
        <f>AVERAGE(I8,AVERAGE(I2,I3,I4,I5,I6,I7,I9,I10))</f>
        <v>1.4704369164792535</v>
      </c>
      <c r="P3">
        <f>100*ABS(O3-1.843223)/1.843223</f>
        <v>20.224687057439422</v>
      </c>
    </row>
    <row r="4" spans="1:16" x14ac:dyDescent="0.4">
      <c r="A4" s="1" t="s">
        <v>6</v>
      </c>
      <c r="B4">
        <v>1.511039926</v>
      </c>
      <c r="C4">
        <v>1.3409482269999999</v>
      </c>
      <c r="D4">
        <v>1.5957071759999999</v>
      </c>
      <c r="E4">
        <v>2.0874167830000001</v>
      </c>
      <c r="F4">
        <f t="shared" si="0"/>
        <v>1.1268443446027243</v>
      </c>
      <c r="G4">
        <f t="shared" si="1"/>
        <v>0.94694060960969206</v>
      </c>
      <c r="H4">
        <f t="shared" si="2"/>
        <v>0.72388031863400037</v>
      </c>
      <c r="I4">
        <f t="shared" si="3"/>
        <v>0.93255509094880562</v>
      </c>
      <c r="L4">
        <v>3</v>
      </c>
      <c r="M4">
        <f>AVERAGE(I3,I8,AVERAGE(I2,I4,I5,I6,I7,I9,I10))</f>
        <v>1.3834419455219333</v>
      </c>
      <c r="N4">
        <f t="shared" ref="N4:N9" si="4">100*ABS(M4-1.843223)/1.843223</f>
        <v>24.944407403665572</v>
      </c>
      <c r="O4">
        <f>AVERAGE(I8,I5,AVERAGE(I2,I3,I4,I6,I7,I9,I10))</f>
        <v>2.5249150562540197</v>
      </c>
      <c r="P4">
        <f t="shared" ref="P4:P9" si="5">100*ABS(O4-1.843223)/1.843223</f>
        <v>36.983699544440341</v>
      </c>
    </row>
    <row r="5" spans="1:16" x14ac:dyDescent="0.4">
      <c r="A5" s="1" t="s">
        <v>7</v>
      </c>
      <c r="B5">
        <v>0.106965239</v>
      </c>
      <c r="C5">
        <v>0.118905286</v>
      </c>
      <c r="D5">
        <v>1.3570021999999999E-2</v>
      </c>
      <c r="E5">
        <v>1.6553900999999999E-2</v>
      </c>
      <c r="F5">
        <f t="shared" si="0"/>
        <v>0.89958354753042691</v>
      </c>
      <c r="G5">
        <f t="shared" si="1"/>
        <v>7.8824661448596034</v>
      </c>
      <c r="H5">
        <f t="shared" si="2"/>
        <v>6.4616333636403898</v>
      </c>
      <c r="I5">
        <f t="shared" si="3"/>
        <v>5.0812276853434737</v>
      </c>
      <c r="L5">
        <v>4</v>
      </c>
      <c r="M5">
        <f>AVERAGE(I3,I8,AVERAGE(I2,I4,I5,I6,I9),AVERAGE(I7,I10))</f>
        <v>1.3881056753362513</v>
      </c>
      <c r="N5">
        <f t="shared" si="4"/>
        <v>24.691387024996367</v>
      </c>
      <c r="O5">
        <f>AVERAGE(I8,I5,I6,AVERAGE(I2,I3,I4,I7,I9,I10))</f>
        <v>2.1830003255522108</v>
      </c>
      <c r="P5">
        <f t="shared" si="5"/>
        <v>18.433869670257518</v>
      </c>
    </row>
    <row r="6" spans="1:16" x14ac:dyDescent="0.4">
      <c r="A6" s="1" t="s">
        <v>8</v>
      </c>
      <c r="B6">
        <v>1.9071052100000001</v>
      </c>
      <c r="C6">
        <v>1.668738753</v>
      </c>
      <c r="D6">
        <v>1.651011282</v>
      </c>
      <c r="E6">
        <v>1.972717214</v>
      </c>
      <c r="F6">
        <f t="shared" si="0"/>
        <v>1.1428422852717199</v>
      </c>
      <c r="G6">
        <f t="shared" si="1"/>
        <v>1.1551133725081353</v>
      </c>
      <c r="H6">
        <f t="shared" si="2"/>
        <v>0.96674028921410327</v>
      </c>
      <c r="I6">
        <f t="shared" si="3"/>
        <v>1.0882319823313196</v>
      </c>
      <c r="L6">
        <v>5</v>
      </c>
      <c r="M6">
        <f>AVERAGE(I3,I8,AVERAGE(I2,I4,I5,I6,I9),I7,I10)</f>
        <v>1.3014350359433826</v>
      </c>
      <c r="N6">
        <f t="shared" si="4"/>
        <v>29.393511477266582</v>
      </c>
      <c r="O6">
        <f>AVERAGE(I8,I5,I6,AVERAGE(I4,I7,I10),AVERAGE(I2,I3,I9))</f>
        <v>2.0606804684696831</v>
      </c>
      <c r="P6">
        <f t="shared" si="5"/>
        <v>11.797675510216781</v>
      </c>
    </row>
    <row r="7" spans="1:16" x14ac:dyDescent="0.4">
      <c r="A7" s="1" t="s">
        <v>9</v>
      </c>
      <c r="B7">
        <v>2.6343622610000001</v>
      </c>
      <c r="C7">
        <v>2.564473462</v>
      </c>
      <c r="D7">
        <v>2.8015979440000001</v>
      </c>
      <c r="E7">
        <v>3.3045553590000001</v>
      </c>
      <c r="F7">
        <f t="shared" si="0"/>
        <v>1.0272526895035579</v>
      </c>
      <c r="G7">
        <f t="shared" si="1"/>
        <v>0.94030703679014416</v>
      </c>
      <c r="H7">
        <f t="shared" si="2"/>
        <v>0.79719114216842513</v>
      </c>
      <c r="I7">
        <f t="shared" si="3"/>
        <v>0.92158362282070916</v>
      </c>
      <c r="L7">
        <v>6</v>
      </c>
      <c r="M7">
        <f>AVERAGE(I3,I8,I4,AVERAGE(I2,I5,I6,I9),I7,I10)</f>
        <v>1.3061176592713133</v>
      </c>
      <c r="N7">
        <f t="shared" si="4"/>
        <v>29.139466072671986</v>
      </c>
      <c r="O7">
        <f>AVERAGE(I8,I5,I6,I4,AVERAGE(I7,I10),AVERAGE(I2,I3,I9))</f>
        <v>1.8738927604063758</v>
      </c>
      <c r="P7">
        <f t="shared" si="5"/>
        <v>1.6639202313760029</v>
      </c>
    </row>
    <row r="8" spans="1:16" x14ac:dyDescent="0.4">
      <c r="A8" s="1" t="s">
        <v>10</v>
      </c>
      <c r="B8">
        <v>9.0356178590000003</v>
      </c>
      <c r="C8">
        <v>7.8802530590000002</v>
      </c>
      <c r="D8">
        <v>9.2437994939999992</v>
      </c>
      <c r="E8">
        <v>10.638551720000001</v>
      </c>
      <c r="F8">
        <f t="shared" si="0"/>
        <v>1.1466151900642916</v>
      </c>
      <c r="G8">
        <f t="shared" si="1"/>
        <v>0.97747878076162009</v>
      </c>
      <c r="H8">
        <f t="shared" si="2"/>
        <v>0.84932781235752641</v>
      </c>
      <c r="I8">
        <f t="shared" si="3"/>
        <v>0.99114059439447921</v>
      </c>
      <c r="L8">
        <v>7</v>
      </c>
      <c r="M8">
        <f>AVERAGE(I3,I8,I4,I2,AVERAGE(I5,I6,I9),I7,I10)</f>
        <v>1.3830669058080514</v>
      </c>
      <c r="N8">
        <f t="shared" si="4"/>
        <v>24.964754356469545</v>
      </c>
      <c r="O8">
        <f>AVERAGE(I8,I5,I6,I4,AVERAGE(I7,I10),AVERAGE(I2,I3),I9)</f>
        <v>2.0624292451161073</v>
      </c>
      <c r="P8">
        <f t="shared" si="5"/>
        <v>11.892551531535098</v>
      </c>
    </row>
    <row r="9" spans="1:16" x14ac:dyDescent="0.4">
      <c r="A9" s="1" t="s">
        <v>11</v>
      </c>
      <c r="B9">
        <v>7.8927792999999996E-2</v>
      </c>
      <c r="C9">
        <v>0.21490611500000001</v>
      </c>
      <c r="D9">
        <v>1.2120959000000001E-2</v>
      </c>
      <c r="E9">
        <v>1.3855252E-2</v>
      </c>
      <c r="F9">
        <f t="shared" si="0"/>
        <v>0.36726638979072324</v>
      </c>
      <c r="G9">
        <f t="shared" si="1"/>
        <v>6.5116789026346833</v>
      </c>
      <c r="H9">
        <f t="shared" si="2"/>
        <v>5.6965974346767565</v>
      </c>
      <c r="I9">
        <f t="shared" si="3"/>
        <v>4.191847575700721</v>
      </c>
      <c r="L9">
        <v>8</v>
      </c>
      <c r="M9">
        <f>AVERAGE(I3,I8,I4,I2,AVERAGE(I5,I9),I6,I7,I10)</f>
        <v>1.4940586090480754</v>
      </c>
      <c r="N9">
        <f t="shared" si="4"/>
        <v>18.943144207289333</v>
      </c>
      <c r="O9">
        <f>AVERAGE(I8,I5,I6,I4,I7,I10,AVERAGE(I2,I3),I9)</f>
        <v>1.9239696492730824</v>
      </c>
      <c r="P9">
        <f t="shared" si="5"/>
        <v>4.3807314292997859</v>
      </c>
    </row>
    <row r="10" spans="1:16" x14ac:dyDescent="0.4">
      <c r="A10" s="1" t="s">
        <v>12</v>
      </c>
      <c r="B10">
        <v>7.2776301840000004</v>
      </c>
      <c r="C10">
        <v>5.8626313740000002</v>
      </c>
      <c r="D10">
        <v>8.1107870200000001</v>
      </c>
      <c r="E10">
        <v>8.8200113350000002</v>
      </c>
      <c r="F10">
        <f t="shared" si="0"/>
        <v>1.2413589938939933</v>
      </c>
      <c r="G10">
        <f t="shared" si="1"/>
        <v>0.89727792950973084</v>
      </c>
      <c r="H10">
        <f t="shared" si="2"/>
        <v>0.82512707836559718</v>
      </c>
      <c r="I10">
        <f t="shared" si="3"/>
        <v>0.9879213339231071</v>
      </c>
    </row>
    <row r="13" spans="1:16" x14ac:dyDescent="0.4">
      <c r="I13">
        <f>AVERAGE(I2:I11)</f>
        <v>1.8432229447674113</v>
      </c>
    </row>
    <row r="15" spans="1:16" x14ac:dyDescent="0.4">
      <c r="A15" s="1"/>
    </row>
    <row r="16" spans="1:16" x14ac:dyDescent="0.4">
      <c r="A16" s="1"/>
    </row>
    <row r="17" spans="1:1" x14ac:dyDescent="0.4">
      <c r="A17" s="1"/>
    </row>
    <row r="18" spans="1:1" x14ac:dyDescent="0.4">
      <c r="A18" s="1"/>
    </row>
    <row r="19" spans="1:1" x14ac:dyDescent="0.4">
      <c r="A19" s="1"/>
    </row>
    <row r="20" spans="1:1" x14ac:dyDescent="0.4">
      <c r="A20" s="1"/>
    </row>
    <row r="21" spans="1:1" x14ac:dyDescent="0.4">
      <c r="A21" s="1"/>
    </row>
    <row r="22" spans="1:1" x14ac:dyDescent="0.4">
      <c r="A22" s="1"/>
    </row>
    <row r="23" spans="1:1" x14ac:dyDescent="0.4">
      <c r="A23" s="1"/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C277-430D-4BC5-B18B-09E6F01B1406}">
  <dimension ref="A1:P23"/>
  <sheetViews>
    <sheetView tabSelected="1" workbookViewId="0">
      <selection activeCell="P12" sqref="P12"/>
    </sheetView>
  </sheetViews>
  <sheetFormatPr defaultRowHeight="15.45" x14ac:dyDescent="0.4"/>
  <sheetData>
    <row r="1" spans="1:16" x14ac:dyDescent="0.4">
      <c r="B1" s="1" t="s">
        <v>0</v>
      </c>
      <c r="C1" s="1" t="s">
        <v>1</v>
      </c>
      <c r="D1" s="1" t="s">
        <v>2</v>
      </c>
      <c r="E1" s="1" t="s">
        <v>3</v>
      </c>
    </row>
    <row r="2" spans="1:16" x14ac:dyDescent="0.4">
      <c r="A2" s="1" t="s">
        <v>4</v>
      </c>
      <c r="B2">
        <v>2.2629353449999998</v>
      </c>
      <c r="C2">
        <v>299</v>
      </c>
      <c r="D2">
        <v>1.7146564259999999</v>
      </c>
      <c r="E2">
        <v>1.9125389429999999</v>
      </c>
      <c r="F2">
        <f>B2/C2</f>
        <v>7.5683456354515045E-3</v>
      </c>
      <c r="G2">
        <f>B2/D2</f>
        <v>1.3197602217483539</v>
      </c>
      <c r="H2">
        <f>B2/E2</f>
        <v>1.1832100743791234</v>
      </c>
      <c r="I2">
        <f>AVERAGE(F2:H2)</f>
        <v>0.83684621392097636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4">
      <c r="A3" s="1" t="s">
        <v>5</v>
      </c>
      <c r="B3">
        <v>0.87665879700000005</v>
      </c>
      <c r="C3">
        <v>152</v>
      </c>
      <c r="D3">
        <v>0.78538943699999997</v>
      </c>
      <c r="E3">
        <v>0.93950259000000003</v>
      </c>
      <c r="F3">
        <f t="shared" ref="F3:F10" si="0">B3/C3</f>
        <v>5.767492085526316E-3</v>
      </c>
      <c r="G3">
        <f t="shared" ref="G3:G10" si="1">B3/D3</f>
        <v>1.1162090495495167</v>
      </c>
      <c r="H3">
        <f t="shared" ref="H3:H10" si="2">B3/E3</f>
        <v>0.93310950531812797</v>
      </c>
      <c r="I3">
        <f t="shared" ref="I3:I10" si="3">AVERAGE(F3:H3)</f>
        <v>0.68502868231772374</v>
      </c>
      <c r="L3">
        <v>2</v>
      </c>
      <c r="M3">
        <f>AVERAGE(AVERAGE(I3,I8),AVERAGE(I2,I4,I5,I6,I7,I9,I10))</f>
        <v>1.1919875094604324</v>
      </c>
      <c r="N3">
        <f>100*ABS(M3-1.843223)/1.843223</f>
        <v>35.331345721031454</v>
      </c>
      <c r="O3">
        <f>AVERAGE(I8,AVERAGE(I2,I3,I4,I5,I6,I7,I9,I10))</f>
        <v>1.1099937988256745</v>
      </c>
      <c r="P3">
        <f>100*ABS(O3-1.843223)/1.843223</f>
        <v>39.779733715037494</v>
      </c>
    </row>
    <row r="4" spans="1:16" x14ac:dyDescent="0.4">
      <c r="A4" s="1" t="s">
        <v>6</v>
      </c>
      <c r="B4">
        <v>1.511039926</v>
      </c>
      <c r="C4">
        <v>136</v>
      </c>
      <c r="D4">
        <v>1.5957071759999999</v>
      </c>
      <c r="E4">
        <v>2.0874167830000001</v>
      </c>
      <c r="F4">
        <f t="shared" si="0"/>
        <v>1.111058769117647E-2</v>
      </c>
      <c r="G4">
        <f t="shared" si="1"/>
        <v>0.94694060960969206</v>
      </c>
      <c r="H4">
        <f t="shared" si="2"/>
        <v>0.72388031863400037</v>
      </c>
      <c r="I4">
        <f t="shared" si="3"/>
        <v>0.56064383864495626</v>
      </c>
      <c r="L4">
        <v>3</v>
      </c>
      <c r="M4">
        <f>AVERAGE(I3,I8,AVERAGE(I2,I4,I5,I6,I7,I9,I10))</f>
        <v>1.0119648738991327</v>
      </c>
      <c r="N4">
        <f t="shared" ref="N4:N9" si="4">100*ABS(M4-1.843223)/1.843223</f>
        <v>45.098076906639477</v>
      </c>
      <c r="O4">
        <f>AVERAGE(I8,I5,AVERAGE(I2,I3,I4,I6,I7,I9,I10))</f>
        <v>2.1823862897383903</v>
      </c>
      <c r="P4">
        <f t="shared" ref="P4:P9" si="5">100*ABS(O4-1.843223)/1.843223</f>
        <v>18.400556510980511</v>
      </c>
    </row>
    <row r="5" spans="1:16" x14ac:dyDescent="0.4">
      <c r="A5" s="1" t="s">
        <v>7</v>
      </c>
      <c r="B5">
        <v>0.106965239</v>
      </c>
      <c r="C5">
        <v>260</v>
      </c>
      <c r="D5">
        <v>1.3570021999999999E-2</v>
      </c>
      <c r="E5">
        <v>1.6553900999999999E-2</v>
      </c>
      <c r="F5">
        <f t="shared" si="0"/>
        <v>4.1140476538461542E-4</v>
      </c>
      <c r="G5">
        <f t="shared" si="1"/>
        <v>7.8824661448596034</v>
      </c>
      <c r="H5">
        <f t="shared" si="2"/>
        <v>6.4616333636403898</v>
      </c>
      <c r="I5">
        <f t="shared" si="3"/>
        <v>4.7815036377551259</v>
      </c>
      <c r="L5">
        <v>4</v>
      </c>
      <c r="M5">
        <f>AVERAGE(I3,I8,AVERAGE(I2,I4,I5,I6,I9),AVERAGE(I7,I10))</f>
        <v>1.0196136665375517</v>
      </c>
      <c r="N5">
        <f t="shared" si="4"/>
        <v>44.68310852579684</v>
      </c>
      <c r="O5">
        <f>AVERAGE(I8,I5,I6,AVERAGE(I2,I3,I4,I7,I9,I10))</f>
        <v>1.8324967150631433</v>
      </c>
      <c r="P5">
        <f t="shared" si="5"/>
        <v>0.58193094036135551</v>
      </c>
    </row>
    <row r="6" spans="1:16" x14ac:dyDescent="0.4">
      <c r="A6" s="1" t="s">
        <v>8</v>
      </c>
      <c r="B6">
        <v>1.9071052100000001</v>
      </c>
      <c r="C6">
        <v>232</v>
      </c>
      <c r="D6">
        <v>1.651011282</v>
      </c>
      <c r="E6">
        <v>1.972717214</v>
      </c>
      <c r="F6">
        <f t="shared" si="0"/>
        <v>8.2202810775862077E-3</v>
      </c>
      <c r="G6">
        <f t="shared" si="1"/>
        <v>1.1551133725081353</v>
      </c>
      <c r="H6">
        <f t="shared" si="2"/>
        <v>0.96674028921410327</v>
      </c>
      <c r="I6">
        <f t="shared" si="3"/>
        <v>0.71002464759994155</v>
      </c>
      <c r="L6">
        <v>5</v>
      </c>
      <c r="M6">
        <f>AVERAGE(I3,I8,AVERAGE(I2,I4,I5,I6,I9),I7,I10)</f>
        <v>0.9322702258950667</v>
      </c>
      <c r="N6">
        <f t="shared" si="4"/>
        <v>49.421734326499468</v>
      </c>
      <c r="O6">
        <f>AVERAGE(I8,I5,I6,AVERAGE(I4,I7,I10),AVERAGE(I2,I3,I9))</f>
        <v>1.709926982382947</v>
      </c>
      <c r="P6">
        <f t="shared" si="5"/>
        <v>7.2316815500377878</v>
      </c>
    </row>
    <row r="7" spans="1:16" x14ac:dyDescent="0.4">
      <c r="A7" s="1" t="s">
        <v>9</v>
      </c>
      <c r="B7">
        <v>2.6343622610000001</v>
      </c>
      <c r="C7">
        <v>339</v>
      </c>
      <c r="D7">
        <v>2.8015979440000001</v>
      </c>
      <c r="E7">
        <v>3.3045553590000001</v>
      </c>
      <c r="F7">
        <f t="shared" si="0"/>
        <v>7.770980120943953E-3</v>
      </c>
      <c r="G7">
        <f t="shared" si="1"/>
        <v>0.94030703679014416</v>
      </c>
      <c r="H7">
        <f t="shared" si="2"/>
        <v>0.79719114216842513</v>
      </c>
      <c r="I7">
        <f t="shared" si="3"/>
        <v>0.58175638635983773</v>
      </c>
      <c r="L7">
        <v>6</v>
      </c>
      <c r="M7">
        <f>AVERAGE(I3,I8,I4,AVERAGE(I2,I5,I6,I9),I7,I10)</f>
        <v>0.93829395962950901</v>
      </c>
      <c r="N7">
        <f t="shared" si="4"/>
        <v>49.094929933626638</v>
      </c>
      <c r="O7">
        <f>AVERAGE(I8,I5,I6,I4,AVERAGE(I7,I10),AVERAGE(I2,I3,I9))</f>
        <v>1.5196160486866246</v>
      </c>
      <c r="P7">
        <f t="shared" si="5"/>
        <v>17.556581667729596</v>
      </c>
    </row>
    <row r="8" spans="1:16" x14ac:dyDescent="0.4">
      <c r="A8" s="1" t="s">
        <v>10</v>
      </c>
      <c r="B8">
        <v>9.0356178590000003</v>
      </c>
      <c r="C8">
        <v>305</v>
      </c>
      <c r="D8">
        <v>9.2437994939999992</v>
      </c>
      <c r="E8">
        <v>10.638551720000001</v>
      </c>
      <c r="F8">
        <f t="shared" si="0"/>
        <v>2.9624976586885246E-2</v>
      </c>
      <c r="G8">
        <f t="shared" si="1"/>
        <v>0.97747878076162009</v>
      </c>
      <c r="H8">
        <f t="shared" si="2"/>
        <v>0.84932781235752641</v>
      </c>
      <c r="I8">
        <f t="shared" si="3"/>
        <v>0.61881052323534391</v>
      </c>
      <c r="L8">
        <v>7</v>
      </c>
      <c r="M8">
        <f>AVERAGE(I3,I8,I4,I2,AVERAGE(I5,I6,I9),I7,I10)</f>
        <v>1.0077367375286614</v>
      </c>
      <c r="N8">
        <f t="shared" si="4"/>
        <v>45.327465123391939</v>
      </c>
      <c r="O8">
        <f>AVERAGE(I8,I5,I6,I4,AVERAGE(I7,I10),AVERAGE(I2,I3),I9)</f>
        <v>1.7263418867312725</v>
      </c>
      <c r="P8">
        <f t="shared" si="5"/>
        <v>6.3411271055497638</v>
      </c>
    </row>
    <row r="9" spans="1:16" x14ac:dyDescent="0.4">
      <c r="A9" s="1" t="s">
        <v>11</v>
      </c>
      <c r="B9">
        <v>7.8927792999999996E-2</v>
      </c>
      <c r="C9">
        <v>174</v>
      </c>
      <c r="D9">
        <v>1.2120959000000001E-2</v>
      </c>
      <c r="E9">
        <v>1.3855252E-2</v>
      </c>
      <c r="F9">
        <f t="shared" si="0"/>
        <v>4.5360800574712639E-4</v>
      </c>
      <c r="G9">
        <f t="shared" si="1"/>
        <v>6.5116789026346833</v>
      </c>
      <c r="H9">
        <f t="shared" si="2"/>
        <v>5.6965974346767565</v>
      </c>
      <c r="I9">
        <f t="shared" si="3"/>
        <v>4.069576648439063</v>
      </c>
      <c r="L9">
        <v>8</v>
      </c>
      <c r="M9">
        <f>AVERAGE(I3,I8,I4,I2,AVERAGE(I5,I9),I6,I7,I10)</f>
        <v>1.1253358719332862</v>
      </c>
      <c r="N9">
        <f t="shared" si="4"/>
        <v>38.947383364178606</v>
      </c>
      <c r="O9">
        <f>AVERAGE(I8,I5,I6,I4,I7,I10,AVERAGE(I2,I3),I9)</f>
        <v>1.5834112088055043</v>
      </c>
      <c r="P9">
        <f t="shared" si="5"/>
        <v>14.095515908519788</v>
      </c>
    </row>
    <row r="10" spans="1:16" x14ac:dyDescent="0.4">
      <c r="A10" s="1" t="s">
        <v>12</v>
      </c>
      <c r="B10">
        <v>7.2776301840000004</v>
      </c>
      <c r="C10">
        <v>245</v>
      </c>
      <c r="D10">
        <v>8.1107870200000001</v>
      </c>
      <c r="E10">
        <v>8.8200113350000002</v>
      </c>
      <c r="F10">
        <f t="shared" si="0"/>
        <v>2.970461299591837E-2</v>
      </c>
      <c r="G10">
        <f t="shared" si="1"/>
        <v>0.89727792950973084</v>
      </c>
      <c r="H10">
        <f t="shared" si="2"/>
        <v>0.82512707836559718</v>
      </c>
      <c r="I10">
        <f t="shared" si="3"/>
        <v>0.58403654029041541</v>
      </c>
    </row>
    <row r="11" spans="1:16" x14ac:dyDescent="0.4">
      <c r="N11">
        <f>AVERAGE(N3:N9)</f>
        <v>43.986291985880641</v>
      </c>
      <c r="P11">
        <f>AVERAGE(P3:P9)</f>
        <v>14.855303914030896</v>
      </c>
    </row>
    <row r="13" spans="1:16" x14ac:dyDescent="0.4">
      <c r="I13">
        <f>AVERAGE(I2:I11)</f>
        <v>1.4920252353959316</v>
      </c>
    </row>
    <row r="15" spans="1:16" x14ac:dyDescent="0.4">
      <c r="A15" s="1"/>
    </row>
    <row r="16" spans="1:16" x14ac:dyDescent="0.4">
      <c r="A16" s="1"/>
    </row>
    <row r="17" spans="1:1" x14ac:dyDescent="0.4">
      <c r="A17" s="1"/>
    </row>
    <row r="18" spans="1:1" x14ac:dyDescent="0.4">
      <c r="A18" s="1"/>
    </row>
    <row r="19" spans="1:1" x14ac:dyDescent="0.4">
      <c r="A19" s="1"/>
    </row>
    <row r="20" spans="1:1" x14ac:dyDescent="0.4">
      <c r="A20" s="1"/>
    </row>
    <row r="21" spans="1:1" x14ac:dyDescent="0.4">
      <c r="A21" s="1"/>
    </row>
    <row r="22" spans="1:1" x14ac:dyDescent="0.4">
      <c r="A22" s="1"/>
    </row>
    <row r="23" spans="1:1" x14ac:dyDescent="0.4">
      <c r="A23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宇廷 鄭</cp:lastModifiedBy>
  <dcterms:created xsi:type="dcterms:W3CDTF">2026-04-23T19:33:02Z</dcterms:created>
  <dcterms:modified xsi:type="dcterms:W3CDTF">2026-04-28T08:20:40Z</dcterms:modified>
</cp:coreProperties>
</file>