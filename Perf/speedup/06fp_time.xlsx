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Texas\26S\Perf\project\Perf\speedup\"/>
    </mc:Choice>
  </mc:AlternateContent>
  <xr:revisionPtr revIDLastSave="0" documentId="13_ncr:1_{E9EE6BE6-D196-4F77-9D81-36C505D9AF1C}" xr6:coauthVersionLast="47" xr6:coauthVersionMax="47" xr10:uidLastSave="{00000000-0000-0000-0000-000000000000}"/>
  <bookViews>
    <workbookView xWindow="-103" yWindow="-103" windowWidth="22149" windowHeight="13200" activeTab="1" xr2:uid="{00000000-000D-0000-FFFF-FFFF00000000}"/>
  </bookViews>
  <sheets>
    <sheet name="Sheet1" sheetId="1" r:id="rId1"/>
    <sheet name="ref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2" l="1"/>
  <c r="P6" i="2"/>
  <c r="P7" i="2"/>
  <c r="P8" i="2"/>
  <c r="P9" i="2"/>
  <c r="P10" i="2"/>
  <c r="P11" i="2"/>
  <c r="P12" i="2"/>
  <c r="P13" i="2"/>
  <c r="P4" i="2"/>
  <c r="P15" i="2"/>
  <c r="N5" i="2"/>
  <c r="N6" i="2"/>
  <c r="N7" i="2"/>
  <c r="N8" i="2"/>
  <c r="N9" i="2"/>
  <c r="N10" i="2"/>
  <c r="N11" i="2"/>
  <c r="N12" i="2"/>
  <c r="N13" i="2"/>
  <c r="N4" i="2"/>
  <c r="N15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I9" i="2"/>
  <c r="H9" i="2"/>
  <c r="G9" i="2"/>
  <c r="F9" i="2"/>
  <c r="I8" i="2"/>
  <c r="H8" i="2"/>
  <c r="G8" i="2"/>
  <c r="F8" i="2"/>
  <c r="I7" i="2"/>
  <c r="H7" i="2"/>
  <c r="G7" i="2"/>
  <c r="F7" i="2"/>
  <c r="I6" i="2"/>
  <c r="H6" i="2"/>
  <c r="G6" i="2"/>
  <c r="F6" i="2"/>
  <c r="I5" i="2"/>
  <c r="H5" i="2"/>
  <c r="G5" i="2"/>
  <c r="F5" i="2"/>
  <c r="I4" i="2"/>
  <c r="I15" i="2" s="1"/>
  <c r="H4" i="2"/>
  <c r="G4" i="2"/>
  <c r="F4" i="2"/>
  <c r="I3" i="2"/>
  <c r="H3" i="2"/>
  <c r="G3" i="2"/>
  <c r="F3" i="2"/>
  <c r="I2" i="2"/>
  <c r="H2" i="2"/>
  <c r="G2" i="2"/>
  <c r="F2" i="2"/>
  <c r="P5" i="1"/>
  <c r="P6" i="1"/>
  <c r="P7" i="1"/>
  <c r="P8" i="1"/>
  <c r="P9" i="1"/>
  <c r="P10" i="1"/>
  <c r="P11" i="1"/>
  <c r="P12" i="1"/>
  <c r="P13" i="1"/>
  <c r="P4" i="1"/>
  <c r="N4" i="1"/>
  <c r="N5" i="1"/>
  <c r="N6" i="1"/>
  <c r="N7" i="1"/>
  <c r="N8" i="1"/>
  <c r="N9" i="1"/>
  <c r="N10" i="1"/>
  <c r="N11" i="1"/>
  <c r="N12" i="1"/>
  <c r="N13" i="1"/>
  <c r="O11" i="1"/>
  <c r="O7" i="1"/>
  <c r="M4" i="1"/>
  <c r="I12" i="1"/>
  <c r="I13" i="1"/>
  <c r="H12" i="1"/>
  <c r="H13" i="1"/>
  <c r="G12" i="1"/>
  <c r="G13" i="1"/>
  <c r="F12" i="1"/>
  <c r="F13" i="1"/>
  <c r="H11" i="1"/>
  <c r="G11" i="1"/>
  <c r="F11" i="1"/>
  <c r="I11" i="1" s="1"/>
  <c r="I10" i="1"/>
  <c r="H10" i="1"/>
  <c r="G10" i="1"/>
  <c r="F10" i="1"/>
  <c r="I9" i="1"/>
  <c r="H9" i="1"/>
  <c r="G9" i="1"/>
  <c r="F9" i="1"/>
  <c r="H8" i="1"/>
  <c r="I8" i="1" s="1"/>
  <c r="G8" i="1"/>
  <c r="F8" i="1"/>
  <c r="H7" i="1"/>
  <c r="G7" i="1"/>
  <c r="F7" i="1"/>
  <c r="I7" i="1" s="1"/>
  <c r="H6" i="1"/>
  <c r="G6" i="1"/>
  <c r="F6" i="1"/>
  <c r="I6" i="1" s="1"/>
  <c r="H5" i="1"/>
  <c r="G5" i="1"/>
  <c r="F5" i="1"/>
  <c r="I5" i="1" s="1"/>
  <c r="I4" i="1"/>
  <c r="H4" i="1"/>
  <c r="G4" i="1"/>
  <c r="F4" i="1"/>
  <c r="H3" i="1"/>
  <c r="G3" i="1"/>
  <c r="F3" i="1"/>
  <c r="I3" i="1" s="1"/>
  <c r="H2" i="1"/>
  <c r="G2" i="1"/>
  <c r="F2" i="1"/>
  <c r="I2" i="1" s="1"/>
  <c r="M8" i="2" l="1"/>
  <c r="O13" i="2"/>
  <c r="O9" i="2"/>
  <c r="O10" i="2"/>
  <c r="M6" i="2"/>
  <c r="M7" i="2"/>
  <c r="M10" i="2"/>
  <c r="M11" i="2"/>
  <c r="O11" i="2"/>
  <c r="M12" i="2"/>
  <c r="O12" i="2"/>
  <c r="M9" i="2"/>
  <c r="O5" i="2"/>
  <c r="O7" i="2"/>
  <c r="M5" i="2"/>
  <c r="O8" i="2"/>
  <c r="O4" i="2"/>
  <c r="O6" i="2"/>
  <c r="M13" i="2"/>
  <c r="M4" i="2"/>
  <c r="M12" i="1"/>
  <c r="M11" i="1"/>
  <c r="O5" i="1"/>
  <c r="O6" i="1"/>
  <c r="O8" i="1"/>
  <c r="O13" i="1"/>
  <c r="M10" i="1"/>
  <c r="M9" i="1"/>
  <c r="M8" i="1"/>
  <c r="M7" i="1"/>
  <c r="M6" i="1"/>
  <c r="M5" i="1"/>
  <c r="I15" i="1"/>
  <c r="O4" i="1"/>
  <c r="M13" i="1"/>
  <c r="O10" i="1"/>
  <c r="O9" i="1"/>
  <c r="O12" i="1"/>
</calcChain>
</file>

<file path=xl/sharedStrings.xml><?xml version="1.0" encoding="utf-8"?>
<sst xmlns="http://schemas.openxmlformats.org/spreadsheetml/2006/main" count="40" uniqueCount="20">
  <si>
    <t>vm-small</t>
  </si>
  <si>
    <t>dev</t>
  </si>
  <si>
    <t>spr</t>
  </si>
  <si>
    <t>skx-dev</t>
  </si>
  <si>
    <t>410</t>
  </si>
  <si>
    <t>434</t>
  </si>
  <si>
    <t>435</t>
  </si>
  <si>
    <t>436</t>
  </si>
  <si>
    <t>444</t>
  </si>
  <si>
    <t>453</t>
  </si>
  <si>
    <t>454</t>
  </si>
  <si>
    <t>459</t>
  </si>
  <si>
    <t>465</t>
  </si>
  <si>
    <t>470</t>
  </si>
  <si>
    <t>481</t>
  </si>
  <si>
    <t>482</t>
  </si>
  <si>
    <t>Perf</t>
    <phoneticPr fontId="2" type="noConversion"/>
  </si>
  <si>
    <t>Perf error %</t>
    <phoneticPr fontId="2" type="noConversion"/>
  </si>
  <si>
    <t xml:space="preserve">Pin </t>
    <phoneticPr fontId="2" type="noConversion"/>
  </si>
  <si>
    <t>Pin error %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</si>
</sst>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2006</a:t>
            </a:r>
            <a:r>
              <a:rPr lang="en-US" altLang="zh-TW" baseline="0"/>
              <a:t> FP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Sheet1!$N$3</c:f>
              <c:strCache>
                <c:ptCount val="1"/>
                <c:pt idx="0">
                  <c:v>Perf error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Sheet1!$L$4:$L$13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</c:numCache>
            </c:numRef>
          </c:cat>
          <c:val>
            <c:numRef>
              <c:f>Sheet1!$N$4:$N$13</c:f>
              <c:numCache>
                <c:formatCode>General</c:formatCode>
                <c:ptCount val="10"/>
                <c:pt idx="0">
                  <c:v>14.222749880076764</c:v>
                </c:pt>
                <c:pt idx="1">
                  <c:v>21.334121978130955</c:v>
                </c:pt>
                <c:pt idx="2">
                  <c:v>21.445563487576447</c:v>
                </c:pt>
                <c:pt idx="3">
                  <c:v>23.438512021910302</c:v>
                </c:pt>
                <c:pt idx="4">
                  <c:v>23.77820075372491</c:v>
                </c:pt>
                <c:pt idx="5">
                  <c:v>24.319260121997335</c:v>
                </c:pt>
                <c:pt idx="6">
                  <c:v>7.7318812822226226</c:v>
                </c:pt>
                <c:pt idx="7">
                  <c:v>11.264289659992254</c:v>
                </c:pt>
                <c:pt idx="8">
                  <c:v>14.069752762948077</c:v>
                </c:pt>
                <c:pt idx="9">
                  <c:v>16.610241715522665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3E-4EA9-A4E7-077640CFAD2D}"/>
            </c:ext>
          </c:extLst>
        </c:ser>
        <c:ser>
          <c:idx val="1"/>
          <c:order val="1"/>
          <c:tx>
            <c:strRef>
              <c:f>Sheet1!$P$3</c:f>
              <c:strCache>
                <c:ptCount val="1"/>
                <c:pt idx="0">
                  <c:v>Pin error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Sheet1!$L$4:$L$13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</c:numCache>
            </c:numRef>
          </c:cat>
          <c:val>
            <c:numRef>
              <c:f>Sheet1!$P$4:$P$13</c:f>
              <c:numCache>
                <c:formatCode>General</c:formatCode>
                <c:ptCount val="10"/>
                <c:pt idx="0">
                  <c:v>15.580521185420203</c:v>
                </c:pt>
                <c:pt idx="1">
                  <c:v>39.501134310114061</c:v>
                </c:pt>
                <c:pt idx="2">
                  <c:v>20.115986934409044</c:v>
                </c:pt>
                <c:pt idx="3">
                  <c:v>8.3163434934623091</c:v>
                </c:pt>
                <c:pt idx="4">
                  <c:v>2.2906233653955654</c:v>
                </c:pt>
                <c:pt idx="5">
                  <c:v>3.7429429241236685</c:v>
                </c:pt>
                <c:pt idx="6">
                  <c:v>18.631292522599658</c:v>
                </c:pt>
                <c:pt idx="7">
                  <c:v>21.383992889819865</c:v>
                </c:pt>
                <c:pt idx="8">
                  <c:v>23.43370869370127</c:v>
                </c:pt>
                <c:pt idx="9">
                  <c:v>24.294622503944595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3E-4EA9-A4E7-077640CFA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9722928"/>
        <c:axId val="689715248"/>
      </c:barChart>
      <c:catAx>
        <c:axId val="689722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89715248"/>
        <c:crosses val="autoZero"/>
        <c:auto val="1"/>
        <c:lblAlgn val="ctr"/>
        <c:lblOffset val="100"/>
        <c:noMultiLvlLbl val="0"/>
      </c:catAx>
      <c:valAx>
        <c:axId val="68971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89722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2006</a:t>
            </a:r>
            <a:r>
              <a:rPr lang="en-US" altLang="zh-TW" baseline="0"/>
              <a:t> FP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ref!$N$3</c:f>
              <c:strCache>
                <c:ptCount val="1"/>
                <c:pt idx="0">
                  <c:v>Perf error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ref!$L$4:$L$13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</c:numCache>
            </c:numRef>
          </c:cat>
          <c:val>
            <c:numRef>
              <c:f>ref!$N$4:$N$13</c:f>
              <c:numCache>
                <c:formatCode>General</c:formatCode>
                <c:ptCount val="10"/>
                <c:pt idx="0">
                  <c:v>118.84634319766323</c:v>
                </c:pt>
                <c:pt idx="1">
                  <c:v>178.26835825977321</c:v>
                </c:pt>
                <c:pt idx="2">
                  <c:v>116.10990225320242</c:v>
                </c:pt>
                <c:pt idx="3">
                  <c:v>78.085111064070375</c:v>
                </c:pt>
                <c:pt idx="4">
                  <c:v>53.109922244407109</c:v>
                </c:pt>
                <c:pt idx="5">
                  <c:v>35.157440291336513</c:v>
                </c:pt>
                <c:pt idx="6">
                  <c:v>28.131126089265496</c:v>
                </c:pt>
                <c:pt idx="7">
                  <c:v>16.44012915941466</c:v>
                </c:pt>
                <c:pt idx="8">
                  <c:v>7.0950844711285797</c:v>
                </c:pt>
                <c:pt idx="9">
                  <c:v>0.64372377271133641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22-4C91-B3FF-09FDFE6BE5C2}"/>
            </c:ext>
          </c:extLst>
        </c:ser>
        <c:ser>
          <c:idx val="1"/>
          <c:order val="1"/>
          <c:tx>
            <c:strRef>
              <c:f>ref!$P$3</c:f>
              <c:strCache>
                <c:ptCount val="1"/>
                <c:pt idx="0">
                  <c:v>Pin error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ref!$L$4:$L$13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</c:numCache>
            </c:numRef>
          </c:cat>
          <c:val>
            <c:numRef>
              <c:f>ref!$P$4:$P$13</c:f>
              <c:numCache>
                <c:formatCode>General</c:formatCode>
                <c:ptCount val="10"/>
                <c:pt idx="0">
                  <c:v>34.135185857820638</c:v>
                </c:pt>
                <c:pt idx="1">
                  <c:v>77.083981775328226</c:v>
                </c:pt>
                <c:pt idx="2">
                  <c:v>38.681591731188618</c:v>
                </c:pt>
                <c:pt idx="3">
                  <c:v>15.576298816612475</c:v>
                </c:pt>
                <c:pt idx="4">
                  <c:v>0.87014262849952617</c:v>
                </c:pt>
                <c:pt idx="5">
                  <c:v>10.28948700907249</c:v>
                </c:pt>
                <c:pt idx="6">
                  <c:v>27.761762899714874</c:v>
                </c:pt>
                <c:pt idx="7">
                  <c:v>32.945735509901994</c:v>
                </c:pt>
                <c:pt idx="8">
                  <c:v>37.110450762881321</c:v>
                </c:pt>
                <c:pt idx="9">
                  <c:v>40.260082493881043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22-4C91-B3FF-09FDFE6BE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7365952"/>
        <c:axId val="947367392"/>
      </c:barChart>
      <c:catAx>
        <c:axId val="94736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47367392"/>
        <c:crosses val="autoZero"/>
        <c:auto val="1"/>
        <c:lblAlgn val="ctr"/>
        <c:lblOffset val="100"/>
        <c:noMultiLvlLbl val="0"/>
      </c:catAx>
      <c:valAx>
        <c:axId val="94736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4736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590550</xdr:colOff>
      <xdr:row>15</xdr:row>
      <xdr:rowOff>123825</xdr:rowOff>
    </xdr:from>
    <xdr:to>
      <xdr:col>18</xdr:col>
      <xdr:colOff>24493</xdr:colOff>
      <xdr:row>29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D914F8-2BD0-95E8-5330-5F89E1B401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348342</xdr:colOff>
      <xdr:row>16</xdr:row>
      <xdr:rowOff>21771</xdr:rowOff>
    </xdr:from>
    <xdr:to>
      <xdr:col>18</xdr:col>
      <xdr:colOff>391884</xdr:colOff>
      <xdr:row>30</xdr:row>
      <xdr:rowOff>21771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DA8883-8976-B617-EBC3-24A74634C6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8"/>
  <sheetViews>
    <sheetView workbookViewId="0">
      <selection sqref="A1:XFD1048576"/>
    </sheetView>
  </sheetViews>
  <sheetFormatPr defaultRowHeight="15.45" x14ac:dyDescent="0.4"/>
  <sheetData>
    <row r="1" spans="1:16" x14ac:dyDescent="0.4">
      <c r="B1" s="1" t="s">
        <v>0</v>
      </c>
      <c r="C1" s="1" t="s">
        <v>1</v>
      </c>
      <c r="D1" s="1" t="s">
        <v>2</v>
      </c>
      <c r="E1" s="1" t="s">
        <v>3</v>
      </c>
    </row>
    <row r="2" spans="1:16" x14ac:dyDescent="0.4">
      <c r="A2" s="1" t="s">
        <v>4</v>
      </c>
      <c r="B2">
        <v>2.249912401</v>
      </c>
      <c r="C2">
        <v>2.0800488690000001</v>
      </c>
      <c r="D2">
        <v>2.0076473209999999</v>
      </c>
      <c r="E2">
        <v>3.7326883209999999</v>
      </c>
      <c r="F2">
        <f>B2/C2</f>
        <v>1.0816632409610949</v>
      </c>
      <c r="G2">
        <f>B2/D2</f>
        <v>1.1206711345493336</v>
      </c>
      <c r="H2">
        <f>B2/E2</f>
        <v>0.60275924682541959</v>
      </c>
      <c r="I2">
        <f>AVERAGE(F2:H2)</f>
        <v>0.93503120744528267</v>
      </c>
    </row>
    <row r="3" spans="1:16" x14ac:dyDescent="0.4">
      <c r="A3" s="1" t="s">
        <v>5</v>
      </c>
      <c r="B3">
        <v>5.2290646049999996</v>
      </c>
      <c r="C3">
        <v>4.1657924140000002</v>
      </c>
      <c r="D3">
        <v>4.9351610749999999</v>
      </c>
      <c r="E3">
        <v>7.5743272939999997</v>
      </c>
      <c r="F3">
        <f t="shared" ref="F3:F13" si="0">B3/C3</f>
        <v>1.2552388802252015</v>
      </c>
      <c r="G3">
        <f t="shared" ref="G3:G13" si="1">B3/D3</f>
        <v>1.0595529761913596</v>
      </c>
      <c r="H3">
        <f t="shared" ref="H3:H13" si="2">B3/E3</f>
        <v>0.69036686718597451</v>
      </c>
      <c r="I3">
        <f t="shared" ref="I3:I13" si="3">AVERAGE(F3:H3)</f>
        <v>1.0017195745341787</v>
      </c>
      <c r="M3" t="s">
        <v>16</v>
      </c>
      <c r="N3" t="s">
        <v>17</v>
      </c>
      <c r="O3" t="s">
        <v>18</v>
      </c>
      <c r="P3" t="s">
        <v>19</v>
      </c>
    </row>
    <row r="4" spans="1:16" x14ac:dyDescent="0.4">
      <c r="A4" s="1" t="s">
        <v>6</v>
      </c>
      <c r="B4">
        <v>0.65718813899999995</v>
      </c>
      <c r="C4">
        <v>0.73514024099999997</v>
      </c>
      <c r="D4">
        <v>0.58973504200000004</v>
      </c>
      <c r="E4">
        <v>0.68242471199999999</v>
      </c>
      <c r="F4">
        <f t="shared" si="0"/>
        <v>0.89396295066916354</v>
      </c>
      <c r="G4">
        <f t="shared" si="1"/>
        <v>1.1143786483693467</v>
      </c>
      <c r="H4">
        <f t="shared" si="2"/>
        <v>0.96301925684074574</v>
      </c>
      <c r="I4">
        <f t="shared" si="3"/>
        <v>0.99045361862641856</v>
      </c>
      <c r="L4">
        <v>2</v>
      </c>
      <c r="M4">
        <f>AVERAGE(AVERAGE(I3,I6),AVERAGE(I2,I4,I5,I7,I8,I9,I10,I11,I12,I13))</f>
        <v>1.3073799621103184</v>
      </c>
      <c r="N4">
        <f>100*ABS(M4-1.524157)/1.524157</f>
        <v>14.222749880076764</v>
      </c>
      <c r="O4">
        <f>AVERAGE(I3,AVERAGE(I2,I4,I5,I6,I7,I8,I9,I10,I11,I12,I13))</f>
        <v>1.286685395715935</v>
      </c>
      <c r="P4">
        <f>100*ABS(O4-1.524157)/1.524157</f>
        <v>15.580521185420203</v>
      </c>
    </row>
    <row r="5" spans="1:16" x14ac:dyDescent="0.4">
      <c r="A5" s="1" t="s">
        <v>7</v>
      </c>
      <c r="B5">
        <v>0.88253232699999995</v>
      </c>
      <c r="C5">
        <v>0.84788417900000002</v>
      </c>
      <c r="D5">
        <v>0.82531859200000002</v>
      </c>
      <c r="E5">
        <v>1.215476971</v>
      </c>
      <c r="F5">
        <f t="shared" si="0"/>
        <v>1.0408642463890105</v>
      </c>
      <c r="G5">
        <f t="shared" si="1"/>
        <v>1.0693232111266917</v>
      </c>
      <c r="H5">
        <f t="shared" si="2"/>
        <v>0.72607901922972751</v>
      </c>
      <c r="I5">
        <f t="shared" si="3"/>
        <v>0.94542215891514336</v>
      </c>
      <c r="L5">
        <v>3</v>
      </c>
      <c r="M5">
        <f>AVERAGE(I3,I6,AVERAGE(I2,I4,I5,I7,I8,I9,I10,I11,I12,I13))</f>
        <v>1.1989914864817786</v>
      </c>
      <c r="N5">
        <f t="shared" ref="N5:N13" si="4">100*ABS(M5-1.524157)/1.524157</f>
        <v>21.334121978130955</v>
      </c>
      <c r="O5">
        <f>AVERAGE(I3,AVERAGE(I2,I4,I5,I7,I9,I10,I11,I12,I13),AVERAGE(I6,I8))</f>
        <v>2.1262163036670052</v>
      </c>
      <c r="P5">
        <f t="shared" ref="P5:P13" si="5">100*ABS(O5-1.524157)/1.524157</f>
        <v>39.501134310114061</v>
      </c>
    </row>
    <row r="6" spans="1:16" x14ac:dyDescent="0.4">
      <c r="A6" s="1" t="s">
        <v>8</v>
      </c>
      <c r="B6">
        <v>7.1832890090000001</v>
      </c>
      <c r="C6">
        <v>6.04</v>
      </c>
      <c r="D6">
        <v>7.364326202</v>
      </c>
      <c r="E6">
        <v>9.9295528859999997</v>
      </c>
      <c r="F6" s="2">
        <f t="shared" si="0"/>
        <v>1.1892862597682119</v>
      </c>
      <c r="G6">
        <f t="shared" si="1"/>
        <v>0.97541700516323759</v>
      </c>
      <c r="H6">
        <f t="shared" si="2"/>
        <v>0.72342522281420685</v>
      </c>
      <c r="I6">
        <f t="shared" si="3"/>
        <v>0.96270949591521882</v>
      </c>
      <c r="L6">
        <v>4</v>
      </c>
      <c r="M6">
        <f>AVERAGE(I3,I6,AVERAGE(I4,I5,I7,I8,I9,I10,I11,I12),AVERAGE(I2,I13))</f>
        <v>1.1972929429146595</v>
      </c>
      <c r="N6">
        <f t="shared" si="4"/>
        <v>21.445563487576447</v>
      </c>
      <c r="O6">
        <f>AVERAGE(I3,AVERAGE(I2,I5,I9,I11,I12),AVERAGE(I4,I7,I10,I13),AVERAGE(I6,I8))</f>
        <v>1.8307562229798808</v>
      </c>
      <c r="P6">
        <f t="shared" si="5"/>
        <v>20.115986934409044</v>
      </c>
    </row>
    <row r="7" spans="1:16" x14ac:dyDescent="0.4">
      <c r="A7" s="1" t="s">
        <v>9</v>
      </c>
      <c r="B7">
        <v>0.33585561800000002</v>
      </c>
      <c r="C7">
        <v>0.74843693099999997</v>
      </c>
      <c r="D7">
        <v>0.316537978</v>
      </c>
      <c r="E7">
        <v>0.40880669200000003</v>
      </c>
      <c r="F7">
        <f t="shared" si="0"/>
        <v>0.44874271176230884</v>
      </c>
      <c r="G7">
        <f t="shared" si="1"/>
        <v>1.0610278745130546</v>
      </c>
      <c r="H7">
        <f t="shared" si="2"/>
        <v>0.82155117460748417</v>
      </c>
      <c r="I7">
        <f t="shared" si="3"/>
        <v>0.77710725362761579</v>
      </c>
      <c r="L7">
        <v>5</v>
      </c>
      <c r="M7">
        <f>AVERAGE(I3,I6,AVERAGE(I4,I5,I7,I8,I9,I10,I11,I12),I2,I13)</f>
        <v>1.1669172783222126</v>
      </c>
      <c r="N7">
        <f t="shared" si="4"/>
        <v>23.438512021910302</v>
      </c>
      <c r="O7">
        <f>AVERAGE(I3,I5,AVERAGE(I2,I9,I11,I12),AVERAGE(I4,I7,I10,I13),AVERAGE(I6,I8))</f>
        <v>1.6509111314996503</v>
      </c>
      <c r="P7">
        <f t="shared" si="5"/>
        <v>8.3163434934623091</v>
      </c>
    </row>
    <row r="8" spans="1:16" x14ac:dyDescent="0.4">
      <c r="A8" s="1" t="s">
        <v>10</v>
      </c>
      <c r="B8">
        <v>9.0052251E-2</v>
      </c>
      <c r="C8">
        <v>0.10102090800000001</v>
      </c>
      <c r="D8">
        <v>7.4319140000000004E-3</v>
      </c>
      <c r="E8">
        <v>8.3658819999999998E-3</v>
      </c>
      <c r="F8">
        <f t="shared" si="0"/>
        <v>0.89142191238273161</v>
      </c>
      <c r="G8">
        <f t="shared" si="1"/>
        <v>12.11696623507753</v>
      </c>
      <c r="H8">
        <f t="shared" si="2"/>
        <v>10.764226772502887</v>
      </c>
      <c r="I8">
        <f t="shared" si="3"/>
        <v>7.92420497332105</v>
      </c>
      <c r="L8">
        <v>6</v>
      </c>
      <c r="M8">
        <f>AVERAGE(I3,I6,AVERAGE(I4,I5,I7,I8,I9,I11,I12),I10,I2,I13)</f>
        <v>1.161739888738049</v>
      </c>
      <c r="N8">
        <f t="shared" si="4"/>
        <v>23.77820075372491</v>
      </c>
      <c r="O8">
        <f>AVERAGE(I3,I5,AVERAGE(I2,I9,I11,I12),AVERAGE(I4,I7,I10),I13,AVERAGE(I6,I8))</f>
        <v>1.5590696963673121</v>
      </c>
      <c r="P8">
        <f t="shared" si="5"/>
        <v>2.2906233653955654</v>
      </c>
    </row>
    <row r="9" spans="1:16" x14ac:dyDescent="0.4">
      <c r="A9" s="1" t="s">
        <v>11</v>
      </c>
      <c r="B9">
        <v>0.94558036400000001</v>
      </c>
      <c r="C9">
        <v>0.83978387700000001</v>
      </c>
      <c r="D9">
        <v>0.97321606500000002</v>
      </c>
      <c r="E9">
        <v>1.269370479</v>
      </c>
      <c r="F9">
        <f t="shared" si="0"/>
        <v>1.125980612271269</v>
      </c>
      <c r="G9">
        <f t="shared" si="1"/>
        <v>0.9716037352918131</v>
      </c>
      <c r="H9">
        <f t="shared" si="2"/>
        <v>0.7449207143567107</v>
      </c>
      <c r="I9">
        <f t="shared" si="3"/>
        <v>0.94750168730659767</v>
      </c>
      <c r="L9">
        <v>7</v>
      </c>
      <c r="M9">
        <f>AVERAGE(I3,I6,AVERAGE(I4,I5,I7,I8,I11,I12),I9,I10,I2,I13)</f>
        <v>1.153493294502369</v>
      </c>
      <c r="N9">
        <f t="shared" si="4"/>
        <v>24.319260121997335</v>
      </c>
      <c r="O9">
        <f>AVERAGE(I3,I5,I2,AVERAGE(I9,I11,I12),AVERAGE(I4,I7,I10),I13,AVERAGE(I6,I8))</f>
        <v>1.4671086734159644</v>
      </c>
      <c r="P9">
        <f t="shared" si="5"/>
        <v>3.7429429241236685</v>
      </c>
    </row>
    <row r="10" spans="1:16" x14ac:dyDescent="0.4">
      <c r="A10" s="1" t="s">
        <v>12</v>
      </c>
      <c r="B10">
        <v>0.521453897</v>
      </c>
      <c r="C10">
        <v>0.56526422099999996</v>
      </c>
      <c r="D10">
        <v>0.42635332799999998</v>
      </c>
      <c r="E10">
        <v>0.55457910899999996</v>
      </c>
      <c r="F10">
        <f t="shared" si="0"/>
        <v>0.92249584818495001</v>
      </c>
      <c r="G10">
        <f t="shared" si="1"/>
        <v>1.2230557679615439</v>
      </c>
      <c r="H10">
        <f t="shared" si="2"/>
        <v>0.94026963608540837</v>
      </c>
      <c r="I10">
        <f t="shared" si="3"/>
        <v>1.0286070840773007</v>
      </c>
      <c r="L10">
        <v>8</v>
      </c>
      <c r="M10">
        <f>AVERAGE(I3,I6,AVERAGE(I4,I5,I7,I11),AVERAGE(I8,I12),I9,I10,I2,I13)</f>
        <v>1.4063109902053141</v>
      </c>
      <c r="N10">
        <f t="shared" si="4"/>
        <v>7.7318812822226226</v>
      </c>
      <c r="O10">
        <f>AVERAGE(I3,I5,I2,,I11,AVERAGE(I9,I12),AVERAGE(I4,I7,I10),I13,AVERAGE(I6,I8))</f>
        <v>1.2401868508263207</v>
      </c>
      <c r="P10">
        <f t="shared" si="5"/>
        <v>18.631292522599658</v>
      </c>
    </row>
    <row r="11" spans="1:16" x14ac:dyDescent="0.4">
      <c r="A11" s="1" t="s">
        <v>13</v>
      </c>
      <c r="B11">
        <v>1.3637606120000001</v>
      </c>
      <c r="C11">
        <v>1.1903557549999999</v>
      </c>
      <c r="D11">
        <v>1.431246115</v>
      </c>
      <c r="E11">
        <v>1.993298338</v>
      </c>
      <c r="F11">
        <f t="shared" si="0"/>
        <v>1.1456748171894211</v>
      </c>
      <c r="G11">
        <f t="shared" si="1"/>
        <v>0.95284842886717647</v>
      </c>
      <c r="H11">
        <f t="shared" si="2"/>
        <v>0.68417285360722557</v>
      </c>
      <c r="I11">
        <f t="shared" si="3"/>
        <v>0.92756536655460764</v>
      </c>
      <c r="L11">
        <v>9</v>
      </c>
      <c r="M11">
        <f>AVERAGE(I3,I6,AVERAGE(I4,I5,I7),I11,AVERAGE(I8,I12),I9,I10,I2,I13)</f>
        <v>1.3524715406469519</v>
      </c>
      <c r="N11">
        <f t="shared" si="4"/>
        <v>11.264289659992254</v>
      </c>
      <c r="O11">
        <f>AVERAGE(I3,I5,I2,,I11,I9,I12,AVERAGE(I4,I7,I10),I13,AVERAGE(I6,I8))</f>
        <v>1.1982313754903082</v>
      </c>
      <c r="P11">
        <f t="shared" si="5"/>
        <v>21.383992889819865</v>
      </c>
    </row>
    <row r="12" spans="1:16" x14ac:dyDescent="0.4">
      <c r="A12" s="1" t="s">
        <v>14</v>
      </c>
      <c r="B12">
        <v>7.9424883000000002E-2</v>
      </c>
      <c r="C12">
        <v>0.38032521699999999</v>
      </c>
      <c r="D12">
        <v>7.4246313999999994E-2</v>
      </c>
      <c r="E12">
        <v>9.8946553000000007E-2</v>
      </c>
      <c r="F12">
        <f t="shared" si="0"/>
        <v>0.20883412261354209</v>
      </c>
      <c r="G12">
        <f t="shared" si="1"/>
        <v>1.0697484995686117</v>
      </c>
      <c r="H12">
        <f t="shared" si="2"/>
        <v>0.80270490069522682</v>
      </c>
      <c r="I12">
        <f t="shared" si="3"/>
        <v>0.6937625076257935</v>
      </c>
      <c r="L12">
        <v>10</v>
      </c>
      <c r="M12">
        <f>AVERAGE(I3,I6,AVERAGE(I4,I7),I5,I11,AVERAGE(I8,I12),I9,I10,I2,I13)</f>
        <v>1.3097118783808335</v>
      </c>
      <c r="N12">
        <f t="shared" si="4"/>
        <v>14.069752762948077</v>
      </c>
      <c r="O12">
        <f>AVERAGE(I3,I5,I2,,I11,I9,I12,I7,AVERAGE(I4,I10),I13,AVERAGE(I6,I8))</f>
        <v>1.1669904885853435</v>
      </c>
      <c r="P12">
        <f t="shared" si="5"/>
        <v>23.43370869370127</v>
      </c>
    </row>
    <row r="13" spans="1:16" x14ac:dyDescent="0.4">
      <c r="A13" s="1" t="s">
        <v>15</v>
      </c>
      <c r="B13">
        <v>1.437035431</v>
      </c>
      <c r="C13">
        <v>1.524967309</v>
      </c>
      <c r="D13">
        <v>1.030329439</v>
      </c>
      <c r="E13">
        <v>1.271350888</v>
      </c>
      <c r="F13">
        <f t="shared" si="0"/>
        <v>0.94233851605798591</v>
      </c>
      <c r="G13">
        <f t="shared" si="1"/>
        <v>1.3947339332502564</v>
      </c>
      <c r="H13">
        <f t="shared" si="2"/>
        <v>1.1303216480704579</v>
      </c>
      <c r="I13">
        <f t="shared" si="3"/>
        <v>1.1557980324595667</v>
      </c>
      <c r="L13">
        <v>11</v>
      </c>
      <c r="M13">
        <f>AVERAGE(I3,I6,I4,I7,I5,I11,AVERAGE(I8,I12),I9,I10,I2,I13)</f>
        <v>1.2709908381759412</v>
      </c>
      <c r="N13">
        <f t="shared" si="4"/>
        <v>16.610241715522665</v>
      </c>
      <c r="O13">
        <f>AVERAGE(I3,I5,I2,,I11,I9,I12,I7,I4,I10,I13,AVERAGE(I6,I8))</f>
        <v>1.1538688104825532</v>
      </c>
      <c r="P13">
        <f t="shared" si="5"/>
        <v>24.294622503944595</v>
      </c>
    </row>
    <row r="15" spans="1:16" x14ac:dyDescent="0.4">
      <c r="I15">
        <f>AVERAGE(I2:I13)</f>
        <v>1.5241569133673982</v>
      </c>
    </row>
    <row r="17" spans="1:1" x14ac:dyDescent="0.4">
      <c r="A17" s="1"/>
    </row>
    <row r="18" spans="1:1" x14ac:dyDescent="0.4">
      <c r="A18" s="1"/>
    </row>
    <row r="19" spans="1:1" x14ac:dyDescent="0.4">
      <c r="A19" s="1"/>
    </row>
    <row r="20" spans="1:1" x14ac:dyDescent="0.4">
      <c r="A20" s="1"/>
    </row>
    <row r="21" spans="1:1" x14ac:dyDescent="0.4">
      <c r="A21" s="1"/>
    </row>
    <row r="22" spans="1:1" x14ac:dyDescent="0.4">
      <c r="A22" s="1"/>
    </row>
    <row r="23" spans="1:1" x14ac:dyDescent="0.4">
      <c r="A23" s="1"/>
    </row>
    <row r="24" spans="1:1" x14ac:dyDescent="0.4">
      <c r="A24" s="1"/>
    </row>
    <row r="25" spans="1:1" x14ac:dyDescent="0.4">
      <c r="A25" s="1"/>
    </row>
    <row r="26" spans="1:1" x14ac:dyDescent="0.4">
      <c r="A26" s="1"/>
    </row>
    <row r="27" spans="1:1" x14ac:dyDescent="0.4">
      <c r="A27" s="1"/>
    </row>
    <row r="28" spans="1:1" x14ac:dyDescent="0.4">
      <c r="A28" s="1"/>
    </row>
  </sheetData>
  <phoneticPr fontId="2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214B8-B4A8-48E7-A071-6013492BD9A2}">
  <dimension ref="A1:P28"/>
  <sheetViews>
    <sheetView tabSelected="1" workbookViewId="0">
      <selection activeCell="J20" sqref="J20"/>
    </sheetView>
  </sheetViews>
  <sheetFormatPr defaultRowHeight="15.45" x14ac:dyDescent="0.4"/>
  <sheetData>
    <row r="1" spans="1:16" x14ac:dyDescent="0.4">
      <c r="B1" s="1" t="s">
        <v>0</v>
      </c>
      <c r="C1" s="1" t="s">
        <v>1</v>
      </c>
      <c r="D1" s="1" t="s">
        <v>2</v>
      </c>
      <c r="E1" s="1" t="s">
        <v>3</v>
      </c>
    </row>
    <row r="2" spans="1:16" x14ac:dyDescent="0.4">
      <c r="A2" s="1" t="s">
        <v>4</v>
      </c>
      <c r="B2">
        <v>2.249912401</v>
      </c>
      <c r="C2">
        <v>2.0800488690000001</v>
      </c>
      <c r="D2">
        <v>2.0076473209999999</v>
      </c>
      <c r="E2">
        <v>3.7326883209999999</v>
      </c>
      <c r="F2">
        <f>B2/C2</f>
        <v>1.0816632409610949</v>
      </c>
      <c r="G2">
        <f>B2/D2</f>
        <v>1.1206711345493336</v>
      </c>
      <c r="H2">
        <f>B2/E2</f>
        <v>0.60275924682541959</v>
      </c>
      <c r="I2">
        <f>AVERAGE(F2:H2)</f>
        <v>0.93503120744528267</v>
      </c>
    </row>
    <row r="3" spans="1:16" x14ac:dyDescent="0.4">
      <c r="A3" s="1" t="s">
        <v>5</v>
      </c>
      <c r="B3">
        <v>5.2290646049999996</v>
      </c>
      <c r="C3">
        <v>4.1657924140000002</v>
      </c>
      <c r="D3">
        <v>4.9351610749999999</v>
      </c>
      <c r="E3">
        <v>7.5743272939999997</v>
      </c>
      <c r="F3">
        <f t="shared" ref="F3:F13" si="0">B3/C3</f>
        <v>1.2552388802252015</v>
      </c>
      <c r="G3">
        <f t="shared" ref="G3:G13" si="1">B3/D3</f>
        <v>1.0595529761913596</v>
      </c>
      <c r="H3">
        <f t="shared" ref="H3:H13" si="2">B3/E3</f>
        <v>0.69036686718597451</v>
      </c>
      <c r="I3">
        <f t="shared" ref="I3:I13" si="3">AVERAGE(F3:H3)</f>
        <v>1.0017195745341787</v>
      </c>
      <c r="M3" t="s">
        <v>16</v>
      </c>
      <c r="N3" t="s">
        <v>17</v>
      </c>
      <c r="O3" t="s">
        <v>18</v>
      </c>
      <c r="P3" t="s">
        <v>19</v>
      </c>
    </row>
    <row r="4" spans="1:16" x14ac:dyDescent="0.4">
      <c r="A4" s="1" t="s">
        <v>6</v>
      </c>
      <c r="B4">
        <v>0.65718813899999995</v>
      </c>
      <c r="C4">
        <v>0.73514024099999997</v>
      </c>
      <c r="D4">
        <v>0.58973504200000004</v>
      </c>
      <c r="E4">
        <v>0.68242471199999999</v>
      </c>
      <c r="F4">
        <f t="shared" si="0"/>
        <v>0.89396295066916354</v>
      </c>
      <c r="G4">
        <f t="shared" si="1"/>
        <v>1.1143786483693467</v>
      </c>
      <c r="H4">
        <f t="shared" si="2"/>
        <v>0.96301925684074574</v>
      </c>
      <c r="I4">
        <f t="shared" si="3"/>
        <v>0.99045361862641856</v>
      </c>
      <c r="L4">
        <v>2</v>
      </c>
      <c r="M4">
        <f>AVERAGE(AVERAGE(I3,I6),AVERAGE(I2,I4,I5,I7,I8,I9,I10,I11,I12,I13))</f>
        <v>8.8041883868419912</v>
      </c>
      <c r="N4">
        <f>100*ABS(M4-4.023)/4.023</f>
        <v>118.84634319766323</v>
      </c>
      <c r="O4">
        <f>AVERAGE(I3,AVERAGE(I2,I4,I5,I6,I7,I8,I9,I10,I11,I12,I13))</f>
        <v>2.6497414729398754</v>
      </c>
      <c r="P4">
        <f>100*ABS(O4-4.023)/4.023</f>
        <v>34.135185857820638</v>
      </c>
    </row>
    <row r="5" spans="1:16" x14ac:dyDescent="0.4">
      <c r="A5" s="1" t="s">
        <v>7</v>
      </c>
      <c r="B5">
        <v>0.88253232699999995</v>
      </c>
      <c r="C5">
        <v>0.84788417900000002</v>
      </c>
      <c r="D5">
        <v>0.82531859200000002</v>
      </c>
      <c r="E5">
        <v>1.215476971</v>
      </c>
      <c r="F5">
        <f t="shared" si="0"/>
        <v>1.0408642463890105</v>
      </c>
      <c r="G5">
        <f t="shared" si="1"/>
        <v>1.0693232111266917</v>
      </c>
      <c r="H5">
        <f t="shared" si="2"/>
        <v>0.72607901922972751</v>
      </c>
      <c r="I5">
        <f t="shared" si="3"/>
        <v>0.94542215891514336</v>
      </c>
      <c r="L5">
        <v>3</v>
      </c>
      <c r="M5">
        <f>AVERAGE(I3,I6,AVERAGE(I2,I4,I5,I7,I8,I9,I10,I11,I12,I13))</f>
        <v>11.194736052790676</v>
      </c>
      <c r="N5">
        <f t="shared" ref="N5:N13" si="4">100*ABS(M5-4.023)/4.023</f>
        <v>178.26835825977321</v>
      </c>
      <c r="O5">
        <f>AVERAGE(I3,AVERAGE(I2,I4,I5,I7,I9,I10,I11,I12,I13),AVERAGE(I6,I8))</f>
        <v>7.1240885868214541</v>
      </c>
      <c r="P5">
        <f t="shared" ref="P5:P13" si="5">100*ABS(O5-4.023)/4.023</f>
        <v>77.083981775328226</v>
      </c>
    </row>
    <row r="6" spans="1:16" x14ac:dyDescent="0.4">
      <c r="A6" s="1" t="s">
        <v>8</v>
      </c>
      <c r="B6">
        <v>7.1832890090000001</v>
      </c>
      <c r="C6">
        <v>7.8806485999999995E-2</v>
      </c>
      <c r="D6">
        <v>7.364326202</v>
      </c>
      <c r="E6">
        <v>9.9295528859999997</v>
      </c>
      <c r="F6">
        <f t="shared" si="0"/>
        <v>91.150987356548299</v>
      </c>
      <c r="G6">
        <f t="shared" si="1"/>
        <v>0.97541700516323759</v>
      </c>
      <c r="H6">
        <f t="shared" si="2"/>
        <v>0.72342522281420685</v>
      </c>
      <c r="I6">
        <f t="shared" si="3"/>
        <v>30.949943194841911</v>
      </c>
      <c r="L6">
        <v>4</v>
      </c>
      <c r="M6">
        <f>AVERAGE(I3,I6,AVERAGE(I4,I5,I7,I8,I9,I10,I11,I12),AVERAGE(I2,I13))</f>
        <v>8.6941013676463328</v>
      </c>
      <c r="N6">
        <f t="shared" si="4"/>
        <v>116.10990225320242</v>
      </c>
      <c r="O6">
        <f>AVERAGE(I3,AVERAGE(I2,I5,I9,I11,I12),AVERAGE(I4,I7,I10,I13),AVERAGE(I6,I8))</f>
        <v>5.5791604353457176</v>
      </c>
      <c r="P6">
        <f t="shared" si="5"/>
        <v>38.681591731188618</v>
      </c>
    </row>
    <row r="7" spans="1:16" x14ac:dyDescent="0.4">
      <c r="A7" s="1" t="s">
        <v>9</v>
      </c>
      <c r="B7">
        <v>0.33585561800000002</v>
      </c>
      <c r="C7">
        <v>0.74843693099999997</v>
      </c>
      <c r="D7">
        <v>0.316537978</v>
      </c>
      <c r="E7">
        <v>0.40880669200000003</v>
      </c>
      <c r="F7">
        <f t="shared" si="0"/>
        <v>0.44874271176230884</v>
      </c>
      <c r="G7">
        <f t="shared" si="1"/>
        <v>1.0610278745130546</v>
      </c>
      <c r="H7">
        <f t="shared" si="2"/>
        <v>0.82155117460748417</v>
      </c>
      <c r="I7">
        <f t="shared" si="3"/>
        <v>0.77710725362761579</v>
      </c>
      <c r="L7">
        <v>5</v>
      </c>
      <c r="M7">
        <f>AVERAGE(I3,I6,AVERAGE(I4,I5,I7,I8,I9,I10,I11,I12),I2,I13)</f>
        <v>7.164364018107551</v>
      </c>
      <c r="N7">
        <f t="shared" si="4"/>
        <v>78.085111064070375</v>
      </c>
      <c r="O7">
        <f>AVERAGE(I3,I5,AVERAGE(I2,I9,I11,I12),AVERAGE(I4,I7,I10,I13),AVERAGE(I6,I8))</f>
        <v>4.6496345013923195</v>
      </c>
      <c r="P7">
        <f t="shared" si="5"/>
        <v>15.576298816612475</v>
      </c>
    </row>
    <row r="8" spans="1:16" x14ac:dyDescent="0.4">
      <c r="A8" s="1" t="s">
        <v>10</v>
      </c>
      <c r="B8">
        <v>9.0052251E-2</v>
      </c>
      <c r="C8">
        <v>0.10102090800000001</v>
      </c>
      <c r="D8">
        <v>7.4319140000000004E-3</v>
      </c>
      <c r="E8">
        <v>8.3658819999999998E-3</v>
      </c>
      <c r="F8">
        <f t="shared" si="0"/>
        <v>0.89142191238273161</v>
      </c>
      <c r="G8">
        <f t="shared" si="1"/>
        <v>12.11696623507753</v>
      </c>
      <c r="H8">
        <f t="shared" si="2"/>
        <v>10.764226772502887</v>
      </c>
      <c r="I8">
        <f t="shared" si="3"/>
        <v>7.92420497332105</v>
      </c>
      <c r="L8">
        <v>6</v>
      </c>
      <c r="M8">
        <f>AVERAGE(I3,I6,AVERAGE(I4,I5,I7,I8,I9,I11,I12),I10,I2,I13)</f>
        <v>6.1596121718924977</v>
      </c>
      <c r="N8">
        <f t="shared" si="4"/>
        <v>53.109922244407109</v>
      </c>
      <c r="O8">
        <f>AVERAGE(I3,I5,AVERAGE(I2,I9,I11,I12),AVERAGE(I4,I7,I10),I13,AVERAGE(I6,I8))</f>
        <v>4.0580058379445356</v>
      </c>
      <c r="P8">
        <f t="shared" si="5"/>
        <v>0.87014262849952617</v>
      </c>
    </row>
    <row r="9" spans="1:16" x14ac:dyDescent="0.4">
      <c r="A9" s="1" t="s">
        <v>11</v>
      </c>
      <c r="B9">
        <v>0.94558036400000001</v>
      </c>
      <c r="C9">
        <v>0.83978387700000001</v>
      </c>
      <c r="D9">
        <v>0.97321606500000002</v>
      </c>
      <c r="E9">
        <v>1.269370479</v>
      </c>
      <c r="F9">
        <f t="shared" si="0"/>
        <v>1.125980612271269</v>
      </c>
      <c r="G9">
        <f t="shared" si="1"/>
        <v>0.9716037352918131</v>
      </c>
      <c r="H9">
        <f t="shared" si="2"/>
        <v>0.7449207143567107</v>
      </c>
      <c r="I9">
        <f t="shared" si="3"/>
        <v>0.94750168730659767</v>
      </c>
      <c r="L9">
        <v>7</v>
      </c>
      <c r="M9">
        <f>AVERAGE(I3,I6,AVERAGE(I4,I5,I7,I8,I11,I12),I9,I10,I2,I13)</f>
        <v>5.4373838229204674</v>
      </c>
      <c r="N9">
        <f t="shared" si="4"/>
        <v>35.157440291336513</v>
      </c>
      <c r="O9">
        <f>AVERAGE(I3,I5,I2,AVERAGE(I9,I11,I12),AVERAGE(I4,I7,I10),I13,AVERAGE(I6,I8))</f>
        <v>3.6090539376250135</v>
      </c>
      <c r="P9">
        <f t="shared" si="5"/>
        <v>10.28948700907249</v>
      </c>
    </row>
    <row r="10" spans="1:16" x14ac:dyDescent="0.4">
      <c r="A10" s="1" t="s">
        <v>12</v>
      </c>
      <c r="B10">
        <v>0.521453897</v>
      </c>
      <c r="C10">
        <v>0.56526422099999996</v>
      </c>
      <c r="D10">
        <v>0.42635332799999998</v>
      </c>
      <c r="E10">
        <v>0.55457910899999996</v>
      </c>
      <c r="F10">
        <f t="shared" si="0"/>
        <v>0.92249584818495001</v>
      </c>
      <c r="G10">
        <f t="shared" si="1"/>
        <v>1.2230557679615439</v>
      </c>
      <c r="H10">
        <f t="shared" si="2"/>
        <v>0.94026963608540837</v>
      </c>
      <c r="I10">
        <f t="shared" si="3"/>
        <v>1.0286070840773007</v>
      </c>
      <c r="L10">
        <v>8</v>
      </c>
      <c r="M10">
        <f>AVERAGE(I3,I6,AVERAGE(I4,I5,I7,I11),AVERAGE(I8,I12),I9,I10,I2,I13)</f>
        <v>5.1547152025711505</v>
      </c>
      <c r="N10">
        <f t="shared" si="4"/>
        <v>28.131126089265496</v>
      </c>
      <c r="O10">
        <f>AVERAGE(I3,I5,I2,,I11,AVERAGE(I9,I12),AVERAGE(I4,I7,I10),I13,AVERAGE(I6,I8))</f>
        <v>2.9061442785444704</v>
      </c>
      <c r="P10">
        <f t="shared" si="5"/>
        <v>27.761762899714874</v>
      </c>
    </row>
    <row r="11" spans="1:16" x14ac:dyDescent="0.4">
      <c r="A11" s="1" t="s">
        <v>13</v>
      </c>
      <c r="B11">
        <v>1.3637606120000001</v>
      </c>
      <c r="C11">
        <v>1.1903557549999999</v>
      </c>
      <c r="D11">
        <v>1.431246115</v>
      </c>
      <c r="E11">
        <v>1.993298338</v>
      </c>
      <c r="F11">
        <f t="shared" si="0"/>
        <v>1.1456748171894211</v>
      </c>
      <c r="G11">
        <f t="shared" si="1"/>
        <v>0.95284842886717647</v>
      </c>
      <c r="H11">
        <f t="shared" si="2"/>
        <v>0.68417285360722557</v>
      </c>
      <c r="I11">
        <f t="shared" si="3"/>
        <v>0.92756536655460764</v>
      </c>
      <c r="L11">
        <v>9</v>
      </c>
      <c r="M11">
        <f>AVERAGE(I3,I6,AVERAGE(I4,I5,I7),I11,AVERAGE(I8,I12),I9,I10,I2,I13)</f>
        <v>4.6843863960832515</v>
      </c>
      <c r="N11">
        <f t="shared" si="4"/>
        <v>16.44012915941466</v>
      </c>
      <c r="O11">
        <f>AVERAGE(I3,I5,I2,,I11,I9,I12,AVERAGE(I4,I7,I10),I13,AVERAGE(I6,I8))</f>
        <v>2.6975930604366427</v>
      </c>
      <c r="P11">
        <f t="shared" si="5"/>
        <v>32.945735509901994</v>
      </c>
    </row>
    <row r="12" spans="1:16" x14ac:dyDescent="0.4">
      <c r="A12" s="1" t="s">
        <v>14</v>
      </c>
      <c r="B12">
        <v>7.9424883000000002E-2</v>
      </c>
      <c r="C12">
        <v>0.38032521699999999</v>
      </c>
      <c r="D12">
        <v>7.4246313999999994E-2</v>
      </c>
      <c r="E12">
        <v>9.8946553000000007E-2</v>
      </c>
      <c r="F12">
        <f t="shared" si="0"/>
        <v>0.20883412261354209</v>
      </c>
      <c r="G12">
        <f t="shared" si="1"/>
        <v>1.0697484995686117</v>
      </c>
      <c r="H12">
        <f t="shared" si="2"/>
        <v>0.80270490069522682</v>
      </c>
      <c r="I12">
        <f t="shared" si="3"/>
        <v>0.6937625076257935</v>
      </c>
      <c r="L12">
        <v>10</v>
      </c>
      <c r="M12">
        <f>AVERAGE(I3,I6,AVERAGE(I4,I7),I5,I11,AVERAGE(I8,I12),I9,I10,I2,I13)</f>
        <v>4.3084352482735024</v>
      </c>
      <c r="N12">
        <f t="shared" si="4"/>
        <v>7.0950844711285797</v>
      </c>
      <c r="O12">
        <f>AVERAGE(I3,I5,I2,,I11,I9,I12,I7,AVERAGE(I4,I10),I13,AVERAGE(I6,I8))</f>
        <v>2.5300465658092843</v>
      </c>
      <c r="P12">
        <f t="shared" si="5"/>
        <v>37.110450762881321</v>
      </c>
    </row>
    <row r="13" spans="1:16" x14ac:dyDescent="0.4">
      <c r="A13" s="1" t="s">
        <v>15</v>
      </c>
      <c r="B13">
        <v>1.437035431</v>
      </c>
      <c r="C13">
        <v>1.524967309</v>
      </c>
      <c r="D13">
        <v>1.030329439</v>
      </c>
      <c r="E13">
        <v>1.271350888</v>
      </c>
      <c r="F13">
        <f t="shared" si="0"/>
        <v>0.94233851605798591</v>
      </c>
      <c r="G13">
        <f t="shared" si="1"/>
        <v>1.3947339332502564</v>
      </c>
      <c r="H13">
        <f t="shared" si="2"/>
        <v>1.1303216480704579</v>
      </c>
      <c r="I13">
        <f t="shared" si="3"/>
        <v>1.1557980324595667</v>
      </c>
      <c r="L13">
        <v>11</v>
      </c>
      <c r="M13">
        <f>AVERAGE(I3,I6,I4,I7,I5,I11,AVERAGE(I8,I12),I9,I10,I2,I13)</f>
        <v>3.9971029926238226</v>
      </c>
      <c r="N13">
        <f t="shared" si="4"/>
        <v>0.64372377271133641</v>
      </c>
      <c r="O13">
        <f>AVERAGE(I3,I5,I2,,I11,I9,I12,I7,I4,I10,I13,AVERAGE(I6,I8))</f>
        <v>2.4033368812711653</v>
      </c>
      <c r="P13">
        <f t="shared" si="5"/>
        <v>40.260082493881043</v>
      </c>
    </row>
    <row r="15" spans="1:16" x14ac:dyDescent="0.4">
      <c r="I15">
        <f>AVERAGE(I2:I13)</f>
        <v>4.0230930549446224</v>
      </c>
      <c r="N15">
        <f>AVERAGE(N4:N13)</f>
        <v>63.188714080297316</v>
      </c>
      <c r="P15">
        <f>AVERAGE(P4:P13)</f>
        <v>31.471471948490127</v>
      </c>
    </row>
    <row r="17" spans="1:1" x14ac:dyDescent="0.4">
      <c r="A17" s="1"/>
    </row>
    <row r="18" spans="1:1" x14ac:dyDescent="0.4">
      <c r="A18" s="1"/>
    </row>
    <row r="19" spans="1:1" x14ac:dyDescent="0.4">
      <c r="A19" s="1"/>
    </row>
    <row r="20" spans="1:1" x14ac:dyDescent="0.4">
      <c r="A20" s="1"/>
    </row>
    <row r="21" spans="1:1" x14ac:dyDescent="0.4">
      <c r="A21" s="1"/>
    </row>
    <row r="22" spans="1:1" x14ac:dyDescent="0.4">
      <c r="A22" s="1"/>
    </row>
    <row r="23" spans="1:1" x14ac:dyDescent="0.4">
      <c r="A23" s="1"/>
    </row>
    <row r="24" spans="1:1" x14ac:dyDescent="0.4">
      <c r="A24" s="1"/>
    </row>
    <row r="25" spans="1:1" x14ac:dyDescent="0.4">
      <c r="A25" s="1"/>
    </row>
    <row r="26" spans="1:1" x14ac:dyDescent="0.4">
      <c r="A26" s="1"/>
    </row>
    <row r="27" spans="1:1" x14ac:dyDescent="0.4">
      <c r="A27" s="1"/>
    </row>
    <row r="28" spans="1:1" x14ac:dyDescent="0.4">
      <c r="A28" s="1"/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宇廷 鄭</cp:lastModifiedBy>
  <dcterms:created xsi:type="dcterms:W3CDTF">2026-04-23T19:35:26Z</dcterms:created>
  <dcterms:modified xsi:type="dcterms:W3CDTF">2026-04-28T08:20:54Z</dcterms:modified>
</cp:coreProperties>
</file>